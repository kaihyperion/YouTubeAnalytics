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ab9ae005d6c289/Documents/"/>
    </mc:Choice>
  </mc:AlternateContent>
  <xr:revisionPtr revIDLastSave="1701" documentId="8_{CEA2D39A-1530-4C80-92CB-A431B5432D24}" xr6:coauthVersionLast="47" xr6:coauthVersionMax="47" xr10:uidLastSave="{8F3B42E8-A90B-4B64-9F70-55769ED7F187}"/>
  <bookViews>
    <workbookView xWindow="-110" yWindow="-110" windowWidth="19420" windowHeight="10420" xr2:uid="{1AEF5F8C-73C6-4462-92A4-0B0D459445FE}"/>
  </bookViews>
  <sheets>
    <sheet name="Raw Data" sheetId="45" r:id="rId1"/>
    <sheet name="Thumbnail" sheetId="50" r:id="rId2"/>
    <sheet name="PivotTable" sheetId="47" r:id="rId3"/>
    <sheet name="Overview" sheetId="48" r:id="rId4"/>
    <sheet name="Scheme" sheetId="46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45" l="1"/>
  <c r="R3" i="45"/>
  <c r="R4" i="45"/>
  <c r="R5" i="45"/>
  <c r="R6" i="45"/>
  <c r="R7" i="45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80" i="45"/>
  <c r="R81" i="45"/>
  <c r="R82" i="45"/>
  <c r="R83" i="45"/>
  <c r="R84" i="45"/>
  <c r="R85" i="45"/>
  <c r="R86" i="45"/>
  <c r="R87" i="45"/>
  <c r="R88" i="45"/>
  <c r="R89" i="45"/>
  <c r="R90" i="45"/>
  <c r="R91" i="45"/>
  <c r="R92" i="45"/>
  <c r="R93" i="45"/>
  <c r="R94" i="45"/>
  <c r="R95" i="45"/>
  <c r="R96" i="45"/>
  <c r="R97" i="45"/>
  <c r="R98" i="45"/>
  <c r="R99" i="45"/>
  <c r="R100" i="45"/>
  <c r="R101" i="45"/>
  <c r="R102" i="45"/>
  <c r="R103" i="45"/>
  <c r="R104" i="45"/>
  <c r="R105" i="45"/>
  <c r="R106" i="45"/>
  <c r="R107" i="45"/>
  <c r="R108" i="45"/>
  <c r="R109" i="45"/>
  <c r="R110" i="45"/>
  <c r="R111" i="45"/>
  <c r="R112" i="45"/>
  <c r="R113" i="45"/>
  <c r="R114" i="45"/>
  <c r="R115" i="45"/>
  <c r="R116" i="45"/>
  <c r="R117" i="45"/>
  <c r="R118" i="45"/>
  <c r="R119" i="45"/>
  <c r="R120" i="45"/>
  <c r="R121" i="45"/>
  <c r="R122" i="45"/>
  <c r="R123" i="45"/>
  <c r="R124" i="45"/>
  <c r="R125" i="45"/>
  <c r="R126" i="45"/>
  <c r="R127" i="45"/>
  <c r="R128" i="45"/>
  <c r="R129" i="45"/>
  <c r="R130" i="45"/>
  <c r="R131" i="45"/>
  <c r="R132" i="45"/>
  <c r="R133" i="45"/>
  <c r="R134" i="45"/>
  <c r="R135" i="45"/>
  <c r="R136" i="45"/>
  <c r="R137" i="45"/>
  <c r="R138" i="45"/>
  <c r="R139" i="45"/>
  <c r="R140" i="45"/>
  <c r="R141" i="45"/>
  <c r="R142" i="45"/>
  <c r="R143" i="45"/>
  <c r="R144" i="45"/>
  <c r="R145" i="45"/>
  <c r="R146" i="45"/>
  <c r="R147" i="45"/>
  <c r="R148" i="45"/>
  <c r="R149" i="45"/>
  <c r="R150" i="45"/>
  <c r="R151" i="45"/>
  <c r="R152" i="45"/>
  <c r="R153" i="45"/>
  <c r="R154" i="45"/>
  <c r="R155" i="45"/>
  <c r="R156" i="45"/>
  <c r="R157" i="45"/>
  <c r="R158" i="45"/>
  <c r="R159" i="45"/>
  <c r="R160" i="45"/>
  <c r="R161" i="45"/>
  <c r="R162" i="45"/>
  <c r="R163" i="45"/>
  <c r="R164" i="45"/>
  <c r="R165" i="45"/>
  <c r="R166" i="45"/>
  <c r="R167" i="45"/>
  <c r="R168" i="45"/>
  <c r="R169" i="45"/>
  <c r="R170" i="45"/>
  <c r="R171" i="45"/>
  <c r="R172" i="45"/>
  <c r="R173" i="45"/>
  <c r="R174" i="45"/>
  <c r="R175" i="45"/>
  <c r="R176" i="45"/>
  <c r="R177" i="45"/>
  <c r="R178" i="45"/>
  <c r="R179" i="45"/>
  <c r="R180" i="45"/>
  <c r="R181" i="45"/>
  <c r="R182" i="45"/>
  <c r="R183" i="45"/>
  <c r="R184" i="45"/>
  <c r="R185" i="45"/>
  <c r="R186" i="45"/>
  <c r="R187" i="45"/>
  <c r="R188" i="45"/>
  <c r="R189" i="45"/>
  <c r="R190" i="45"/>
  <c r="R191" i="45"/>
  <c r="R192" i="45"/>
  <c r="R193" i="45"/>
  <c r="R194" i="45"/>
  <c r="R195" i="45"/>
  <c r="R196" i="45"/>
  <c r="R197" i="45"/>
  <c r="R198" i="45"/>
  <c r="R199" i="45"/>
  <c r="R200" i="45"/>
  <c r="R201" i="45"/>
  <c r="R202" i="45"/>
  <c r="R203" i="45"/>
  <c r="R204" i="45"/>
  <c r="R205" i="45"/>
  <c r="R206" i="45"/>
  <c r="R207" i="45"/>
  <c r="R208" i="45"/>
  <c r="R209" i="45"/>
  <c r="R210" i="45"/>
  <c r="R211" i="45"/>
  <c r="R212" i="45"/>
  <c r="R213" i="45"/>
  <c r="R214" i="45"/>
  <c r="R215" i="45"/>
  <c r="R216" i="45"/>
  <c r="R217" i="45"/>
  <c r="R218" i="45"/>
  <c r="R219" i="45"/>
  <c r="R220" i="45"/>
  <c r="R221" i="45"/>
  <c r="R222" i="45"/>
  <c r="R223" i="45"/>
  <c r="R224" i="45"/>
  <c r="R225" i="45"/>
  <c r="R226" i="45"/>
  <c r="R227" i="45"/>
  <c r="R228" i="45"/>
  <c r="R229" i="45"/>
  <c r="R230" i="45"/>
  <c r="R231" i="45"/>
  <c r="R232" i="45"/>
  <c r="R233" i="45"/>
  <c r="R234" i="45"/>
  <c r="R235" i="45"/>
  <c r="R236" i="45"/>
  <c r="R237" i="45"/>
  <c r="R238" i="45"/>
  <c r="R239" i="45"/>
  <c r="R240" i="45"/>
  <c r="R241" i="45"/>
  <c r="R242" i="45"/>
  <c r="R243" i="45"/>
  <c r="R244" i="45"/>
  <c r="R245" i="45"/>
  <c r="R246" i="45"/>
  <c r="R247" i="45"/>
  <c r="R248" i="45"/>
  <c r="R249" i="45"/>
  <c r="R250" i="45"/>
  <c r="R251" i="45"/>
  <c r="R252" i="45"/>
  <c r="R253" i="45"/>
  <c r="R254" i="45"/>
  <c r="R255" i="45"/>
  <c r="R256" i="45"/>
  <c r="R257" i="45"/>
  <c r="R258" i="45"/>
  <c r="R259" i="45"/>
  <c r="R260" i="45"/>
  <c r="R261" i="45"/>
  <c r="R262" i="45"/>
  <c r="R263" i="45"/>
  <c r="R264" i="45"/>
  <c r="R265" i="45"/>
  <c r="R266" i="45"/>
  <c r="R267" i="45"/>
  <c r="R268" i="45"/>
  <c r="R269" i="45"/>
  <c r="R270" i="45"/>
  <c r="R271" i="45"/>
  <c r="R272" i="45"/>
  <c r="R273" i="45"/>
  <c r="R274" i="45"/>
  <c r="R275" i="45"/>
  <c r="R276" i="45"/>
  <c r="R277" i="45"/>
  <c r="R278" i="45"/>
  <c r="R279" i="45"/>
  <c r="R280" i="45"/>
  <c r="R281" i="45"/>
  <c r="R282" i="45"/>
  <c r="R283" i="45"/>
  <c r="R284" i="45"/>
  <c r="R285" i="45"/>
  <c r="R286" i="45"/>
  <c r="R287" i="45"/>
  <c r="R288" i="45"/>
  <c r="R289" i="45"/>
  <c r="R290" i="45"/>
  <c r="R291" i="45"/>
  <c r="R292" i="45"/>
  <c r="R293" i="45"/>
  <c r="R294" i="45"/>
  <c r="R295" i="45"/>
  <c r="R296" i="45"/>
  <c r="R297" i="45"/>
  <c r="R298" i="45"/>
  <c r="R299" i="45"/>
  <c r="R300" i="45"/>
  <c r="R301" i="45"/>
  <c r="R302" i="45"/>
  <c r="R303" i="45"/>
  <c r="R304" i="45"/>
  <c r="R305" i="45"/>
  <c r="R306" i="45"/>
  <c r="R307" i="45"/>
  <c r="R308" i="45"/>
  <c r="R309" i="45"/>
  <c r="R310" i="45"/>
  <c r="R311" i="45"/>
  <c r="R312" i="45"/>
  <c r="R313" i="45"/>
  <c r="R314" i="45"/>
  <c r="R315" i="45"/>
  <c r="R316" i="45"/>
  <c r="R317" i="45"/>
  <c r="R318" i="45"/>
  <c r="R319" i="45"/>
  <c r="R320" i="45"/>
  <c r="R321" i="45"/>
  <c r="R322" i="45"/>
  <c r="R323" i="45"/>
  <c r="R324" i="45"/>
  <c r="R325" i="45"/>
  <c r="R326" i="45"/>
  <c r="R327" i="45"/>
  <c r="R328" i="45"/>
  <c r="R329" i="45"/>
  <c r="R330" i="45"/>
  <c r="R331" i="45"/>
  <c r="R332" i="45"/>
  <c r="R333" i="45"/>
  <c r="R334" i="45"/>
  <c r="R335" i="45"/>
  <c r="R336" i="45"/>
  <c r="R337" i="45"/>
  <c r="R338" i="45"/>
  <c r="R339" i="45"/>
  <c r="R340" i="45"/>
  <c r="R341" i="45"/>
  <c r="R342" i="45"/>
  <c r="R343" i="45"/>
  <c r="R344" i="45"/>
  <c r="R345" i="45"/>
  <c r="R346" i="45"/>
  <c r="R347" i="45"/>
  <c r="R348" i="45"/>
  <c r="R349" i="45"/>
  <c r="R350" i="45"/>
  <c r="R351" i="45"/>
  <c r="R352" i="45"/>
  <c r="R353" i="45"/>
  <c r="R354" i="45"/>
  <c r="R355" i="45"/>
  <c r="R356" i="45"/>
  <c r="R357" i="45"/>
  <c r="R358" i="45"/>
  <c r="R359" i="45"/>
  <c r="R360" i="45"/>
  <c r="R361" i="45"/>
  <c r="R362" i="45"/>
  <c r="R363" i="45"/>
  <c r="R364" i="45"/>
  <c r="R365" i="45"/>
  <c r="R366" i="45"/>
  <c r="R367" i="45"/>
  <c r="R368" i="45"/>
  <c r="R369" i="45"/>
  <c r="R370" i="45"/>
  <c r="R371" i="45"/>
  <c r="R372" i="45"/>
  <c r="R373" i="45"/>
  <c r="R374" i="45"/>
  <c r="R375" i="45"/>
  <c r="R376" i="45"/>
  <c r="R377" i="45"/>
  <c r="R378" i="45"/>
  <c r="R379" i="45"/>
  <c r="R380" i="45"/>
  <c r="R381" i="45"/>
  <c r="R382" i="45"/>
  <c r="R383" i="45"/>
  <c r="R384" i="45"/>
  <c r="R385" i="45"/>
  <c r="R386" i="45"/>
  <c r="R387" i="45"/>
  <c r="R388" i="45"/>
  <c r="R389" i="45"/>
  <c r="R390" i="45"/>
  <c r="R391" i="45"/>
  <c r="R392" i="45"/>
  <c r="R393" i="45"/>
  <c r="R394" i="45"/>
  <c r="R395" i="45"/>
  <c r="R396" i="45"/>
  <c r="R397" i="45"/>
  <c r="R398" i="45"/>
  <c r="R399" i="45"/>
  <c r="R400" i="45"/>
  <c r="R401" i="45"/>
  <c r="R402" i="45"/>
  <c r="R403" i="45"/>
  <c r="R404" i="45"/>
  <c r="R405" i="45"/>
  <c r="P4" i="45"/>
  <c r="Q4" i="45" s="1" a="1"/>
  <c r="Q4" i="45" s="1"/>
  <c r="P5" i="45"/>
  <c r="Q5" i="45" s="1" a="1"/>
  <c r="Q5" i="45" s="1"/>
  <c r="P7" i="45"/>
  <c r="Q7" i="45" s="1" a="1"/>
  <c r="Q7" i="45" s="1"/>
  <c r="P8" i="45"/>
  <c r="Q8" i="45" s="1" a="1"/>
  <c r="Q8" i="45" s="1"/>
  <c r="P9" i="45"/>
  <c r="Q9" i="45" s="1" a="1"/>
  <c r="Q9" i="45" s="1"/>
  <c r="P11" i="45"/>
  <c r="Q11" i="45" s="1" a="1"/>
  <c r="Q11" i="45" s="1"/>
  <c r="P13" i="45"/>
  <c r="Q13" i="45" s="1" a="1"/>
  <c r="Q13" i="45" s="1"/>
  <c r="P14" i="45"/>
  <c r="Q14" i="45" s="1" a="1"/>
  <c r="Q14" i="45" s="1"/>
  <c r="P15" i="45"/>
  <c r="Q15" i="45" s="1" a="1"/>
  <c r="Q15" i="45" s="1"/>
  <c r="P16" i="45"/>
  <c r="Q16" i="45" s="1" a="1"/>
  <c r="Q16" i="45" s="1"/>
  <c r="P17" i="45"/>
  <c r="Q17" i="45" s="1" a="1"/>
  <c r="Q17" i="45" s="1"/>
  <c r="P19" i="45"/>
  <c r="Q19" i="45" s="1" a="1"/>
  <c r="Q19" i="45" s="1"/>
  <c r="P22" i="45"/>
  <c r="Q22" i="45" s="1" a="1"/>
  <c r="Q22" i="45" s="1"/>
  <c r="P25" i="45"/>
  <c r="Q25" i="45" s="1" a="1"/>
  <c r="Q25" i="45" s="1"/>
  <c r="P29" i="45"/>
  <c r="Q29" i="45" s="1" a="1"/>
  <c r="Q29" i="45" s="1"/>
  <c r="P30" i="45"/>
  <c r="Q30" i="45" s="1" a="1"/>
  <c r="Q30" i="45" s="1"/>
  <c r="P31" i="45"/>
  <c r="Q31" i="45" s="1" a="1"/>
  <c r="Q31" i="45" s="1"/>
  <c r="P32" i="45"/>
  <c r="Q32" i="45" s="1" a="1"/>
  <c r="Q32" i="45" s="1"/>
  <c r="P34" i="45"/>
  <c r="P37" i="45"/>
  <c r="Q37" i="45" s="1" a="1"/>
  <c r="Q37" i="45" s="1"/>
  <c r="P38" i="45"/>
  <c r="Q38" i="45" s="1" a="1"/>
  <c r="Q38" i="45" s="1"/>
  <c r="P39" i="45"/>
  <c r="Q39" i="45" s="1" a="1"/>
  <c r="Q39" i="45" s="1"/>
  <c r="P40" i="45"/>
  <c r="Q40" i="45" s="1" a="1"/>
  <c r="Q40" i="45" s="1"/>
  <c r="P41" i="45"/>
  <c r="Q41" i="45" s="1" a="1"/>
  <c r="Q41" i="45" s="1"/>
  <c r="P42" i="45"/>
  <c r="Q42" i="45" s="1" a="1"/>
  <c r="Q42" i="45" s="1"/>
  <c r="P43" i="45"/>
  <c r="Q43" i="45" s="1" a="1"/>
  <c r="Q43" i="45" s="1"/>
  <c r="P44" i="45"/>
  <c r="Q44" i="45" s="1" a="1"/>
  <c r="Q44" i="45" s="1"/>
  <c r="P45" i="45"/>
  <c r="Q45" i="45" s="1" a="1"/>
  <c r="Q45" i="45" s="1"/>
  <c r="P46" i="45"/>
  <c r="Q46" i="45" s="1" a="1"/>
  <c r="Q46" i="45" s="1"/>
  <c r="P47" i="45"/>
  <c r="Q47" i="45" s="1" a="1"/>
  <c r="Q47" i="45" s="1"/>
  <c r="P50" i="45"/>
  <c r="Q50" i="45" s="1" a="1"/>
  <c r="Q50" i="45" s="1"/>
  <c r="P54" i="45"/>
  <c r="Q54" i="45" s="1" a="1"/>
  <c r="Q54" i="45" s="1"/>
  <c r="P55" i="45"/>
  <c r="Q55" i="45" s="1" a="1"/>
  <c r="Q55" i="45" s="1"/>
  <c r="P57" i="45"/>
  <c r="Q57" i="45" s="1" a="1"/>
  <c r="Q57" i="45" s="1"/>
  <c r="P58" i="45"/>
  <c r="Q58" i="45" s="1" a="1"/>
  <c r="Q58" i="45" s="1"/>
  <c r="P59" i="45"/>
  <c r="Q59" i="45" s="1" a="1"/>
  <c r="Q59" i="45" s="1"/>
  <c r="P60" i="45"/>
  <c r="Q60" i="45" s="1" a="1"/>
  <c r="Q60" i="45" s="1"/>
  <c r="P61" i="45"/>
  <c r="Q61" i="45" s="1" a="1"/>
  <c r="Q61" i="45" s="1"/>
  <c r="P62" i="45"/>
  <c r="Q62" i="45" s="1" a="1"/>
  <c r="Q62" i="45" s="1"/>
  <c r="P65" i="45"/>
  <c r="Q65" i="45" s="1" a="1"/>
  <c r="Q65" i="45" s="1"/>
  <c r="P66" i="45"/>
  <c r="Q66" i="45" s="1" a="1"/>
  <c r="Q66" i="45" s="1"/>
  <c r="P67" i="45"/>
  <c r="Q67" i="45" s="1" a="1"/>
  <c r="Q67" i="45" s="1"/>
  <c r="P68" i="45"/>
  <c r="Q68" i="45" s="1" a="1"/>
  <c r="Q68" i="45" s="1"/>
  <c r="P70" i="45"/>
  <c r="Q70" i="45" s="1" a="1"/>
  <c r="Q70" i="45" s="1"/>
  <c r="P71" i="45"/>
  <c r="Q71" i="45" s="1" a="1"/>
  <c r="Q71" i="45" s="1"/>
  <c r="P73" i="45"/>
  <c r="Q73" i="45" s="1" a="1"/>
  <c r="Q73" i="45" s="1"/>
  <c r="P75" i="45"/>
  <c r="Q75" i="45" s="1" a="1"/>
  <c r="Q75" i="45" s="1"/>
  <c r="P76" i="45"/>
  <c r="Q76" i="45" s="1" a="1"/>
  <c r="Q76" i="45" s="1"/>
  <c r="P78" i="45"/>
  <c r="Q78" i="45" s="1" a="1"/>
  <c r="Q78" i="45" s="1"/>
  <c r="P79" i="45"/>
  <c r="Q79" i="45" s="1" a="1"/>
  <c r="Q79" i="45" s="1"/>
  <c r="P80" i="45"/>
  <c r="Q80" i="45" s="1" a="1"/>
  <c r="Q80" i="45" s="1"/>
  <c r="P82" i="45"/>
  <c r="Q82" i="45" s="1" a="1"/>
  <c r="Q82" i="45" s="1"/>
  <c r="P83" i="45"/>
  <c r="Q83" i="45" s="1" a="1"/>
  <c r="Q83" i="45" s="1"/>
  <c r="P84" i="45"/>
  <c r="Q84" i="45" s="1" a="1"/>
  <c r="Q84" i="45" s="1"/>
  <c r="P86" i="45"/>
  <c r="Q86" i="45" s="1" a="1"/>
  <c r="Q86" i="45" s="1"/>
  <c r="P87" i="45"/>
  <c r="Q87" i="45" s="1" a="1"/>
  <c r="Q87" i="45" s="1"/>
  <c r="P88" i="45"/>
  <c r="Q88" i="45" s="1" a="1"/>
  <c r="Q88" i="45" s="1"/>
  <c r="P89" i="45"/>
  <c r="Q89" i="45" s="1" a="1"/>
  <c r="Q89" i="45" s="1"/>
  <c r="P90" i="45"/>
  <c r="Q90" i="45" s="1" a="1"/>
  <c r="Q90" i="45" s="1"/>
  <c r="P91" i="45"/>
  <c r="Q91" i="45" s="1" a="1"/>
  <c r="Q91" i="45" s="1"/>
  <c r="P92" i="45"/>
  <c r="Q92" i="45" s="1" a="1"/>
  <c r="Q92" i="45" s="1"/>
  <c r="P94" i="45"/>
  <c r="Q94" i="45" s="1" a="1"/>
  <c r="Q94" i="45" s="1"/>
  <c r="P95" i="45"/>
  <c r="Q95" i="45" s="1" a="1"/>
  <c r="Q95" i="45" s="1"/>
  <c r="P96" i="45"/>
  <c r="Q96" i="45" s="1" a="1"/>
  <c r="Q96" i="45" s="1"/>
  <c r="P97" i="45"/>
  <c r="Q97" i="45" s="1" a="1"/>
  <c r="Q97" i="45" s="1"/>
  <c r="P98" i="45"/>
  <c r="Q98" i="45" s="1" a="1"/>
  <c r="Q98" i="45" s="1"/>
  <c r="P99" i="45"/>
  <c r="Q99" i="45" s="1" a="1"/>
  <c r="Q99" i="45" s="1"/>
  <c r="P100" i="45"/>
  <c r="Q100" i="45" s="1" a="1"/>
  <c r="Q100" i="45" s="1"/>
  <c r="P101" i="45"/>
  <c r="Q101" i="45" s="1" a="1"/>
  <c r="Q101" i="45" s="1"/>
  <c r="P102" i="45"/>
  <c r="Q102" i="45" s="1" a="1"/>
  <c r="Q102" i="45" s="1"/>
  <c r="P104" i="45"/>
  <c r="Q104" i="45" s="1" a="1"/>
  <c r="Q104" i="45" s="1"/>
  <c r="P105" i="45"/>
  <c r="Q105" i="45" s="1" a="1"/>
  <c r="Q105" i="45" s="1"/>
  <c r="P106" i="45"/>
  <c r="Q106" i="45" s="1" a="1"/>
  <c r="Q106" i="45" s="1"/>
  <c r="P107" i="45"/>
  <c r="Q107" i="45" s="1" a="1"/>
  <c r="Q107" i="45" s="1"/>
  <c r="P108" i="45"/>
  <c r="Q108" i="45" s="1" a="1"/>
  <c r="Q108" i="45" s="1"/>
  <c r="P109" i="45"/>
  <c r="Q109" i="45" s="1" a="1"/>
  <c r="Q109" i="45" s="1"/>
  <c r="P110" i="45"/>
  <c r="Q110" i="45" s="1" a="1"/>
  <c r="Q110" i="45" s="1"/>
  <c r="P111" i="45"/>
  <c r="Q111" i="45" s="1" a="1"/>
  <c r="Q111" i="45" s="1"/>
  <c r="P112" i="45"/>
  <c r="Q112" i="45" s="1" a="1"/>
  <c r="Q112" i="45" s="1"/>
  <c r="P113" i="45"/>
  <c r="Q113" i="45" s="1" a="1"/>
  <c r="Q113" i="45" s="1"/>
  <c r="P114" i="45"/>
  <c r="Q114" i="45" s="1" a="1"/>
  <c r="Q114" i="45" s="1"/>
  <c r="P115" i="45"/>
  <c r="Q115" i="45" s="1" a="1"/>
  <c r="Q115" i="45" s="1"/>
  <c r="P116" i="45"/>
  <c r="Q116" i="45" s="1" a="1"/>
  <c r="Q116" i="45" s="1"/>
  <c r="P117" i="45"/>
  <c r="Q117" i="45" s="1" a="1"/>
  <c r="Q117" i="45" s="1"/>
  <c r="P118" i="45"/>
  <c r="Q118" i="45" s="1" a="1"/>
  <c r="Q118" i="45" s="1"/>
  <c r="P119" i="45"/>
  <c r="Q119" i="45" s="1" a="1"/>
  <c r="Q119" i="45" s="1"/>
  <c r="P120" i="45"/>
  <c r="Q120" i="45" s="1" a="1"/>
  <c r="Q120" i="45" s="1"/>
  <c r="P121" i="45"/>
  <c r="Q121" i="45" s="1" a="1"/>
  <c r="Q121" i="45" s="1"/>
  <c r="P122" i="45"/>
  <c r="Q122" i="45" s="1" a="1"/>
  <c r="Q122" i="45" s="1"/>
  <c r="P123" i="45"/>
  <c r="Q123" i="45" s="1" a="1"/>
  <c r="Q123" i="45" s="1"/>
  <c r="P124" i="45"/>
  <c r="Q124" i="45" s="1" a="1"/>
  <c r="Q124" i="45" s="1"/>
  <c r="P125" i="45"/>
  <c r="Q125" i="45" s="1" a="1"/>
  <c r="Q125" i="45" s="1"/>
  <c r="P126" i="45"/>
  <c r="Q126" i="45" s="1" a="1"/>
  <c r="Q126" i="45" s="1"/>
  <c r="P127" i="45"/>
  <c r="Q127" i="45" s="1" a="1"/>
  <c r="Q127" i="45" s="1"/>
  <c r="P128" i="45"/>
  <c r="Q128" i="45" s="1" a="1"/>
  <c r="Q128" i="45" s="1"/>
  <c r="P129" i="45"/>
  <c r="Q129" i="45" s="1" a="1"/>
  <c r="Q129" i="45" s="1"/>
  <c r="P130" i="45"/>
  <c r="Q130" i="45" s="1" a="1"/>
  <c r="Q130" i="45" s="1"/>
  <c r="P131" i="45"/>
  <c r="Q131" i="45" s="1" a="1"/>
  <c r="Q131" i="45" s="1"/>
  <c r="P132" i="45"/>
  <c r="Q132" i="45" s="1" a="1"/>
  <c r="Q132" i="45" s="1"/>
  <c r="P133" i="45"/>
  <c r="Q133" i="45" s="1" a="1"/>
  <c r="Q133" i="45" s="1"/>
  <c r="P134" i="45"/>
  <c r="Q134" i="45" s="1" a="1"/>
  <c r="Q134" i="45" s="1"/>
  <c r="P135" i="45"/>
  <c r="Q135" i="45" s="1" a="1"/>
  <c r="Q135" i="45" s="1"/>
  <c r="P136" i="45"/>
  <c r="Q136" i="45" s="1" a="1"/>
  <c r="Q136" i="45" s="1"/>
  <c r="P137" i="45"/>
  <c r="Q137" i="45" s="1" a="1"/>
  <c r="Q137" i="45" s="1"/>
  <c r="P138" i="45"/>
  <c r="Q138" i="45" s="1" a="1"/>
  <c r="Q138" i="45" s="1"/>
  <c r="P139" i="45"/>
  <c r="Q139" i="45" s="1" a="1"/>
  <c r="Q139" i="45" s="1"/>
  <c r="P140" i="45"/>
  <c r="Q140" i="45" s="1" a="1"/>
  <c r="Q140" i="45" s="1"/>
  <c r="P141" i="45"/>
  <c r="Q141" i="45" s="1" a="1"/>
  <c r="Q141" i="45" s="1"/>
  <c r="P142" i="45"/>
  <c r="Q142" i="45" s="1" a="1"/>
  <c r="Q142" i="45" s="1"/>
  <c r="P143" i="45"/>
  <c r="Q143" i="45" s="1" a="1"/>
  <c r="Q143" i="45" s="1"/>
  <c r="P144" i="45"/>
  <c r="Q144" i="45" s="1" a="1"/>
  <c r="Q144" i="45" s="1"/>
  <c r="P145" i="45"/>
  <c r="Q145" i="45" s="1" a="1"/>
  <c r="Q145" i="45" s="1"/>
  <c r="P146" i="45"/>
  <c r="Q146" i="45" s="1" a="1"/>
  <c r="Q146" i="45" s="1"/>
  <c r="P147" i="45"/>
  <c r="Q147" i="45" s="1" a="1"/>
  <c r="Q147" i="45" s="1"/>
  <c r="P148" i="45"/>
  <c r="Q148" i="45" s="1" a="1"/>
  <c r="Q148" i="45" s="1"/>
  <c r="P149" i="45"/>
  <c r="Q149" i="45" s="1" a="1"/>
  <c r="Q149" i="45" s="1"/>
  <c r="P150" i="45"/>
  <c r="Q150" i="45" s="1" a="1"/>
  <c r="Q150" i="45" s="1"/>
  <c r="P151" i="45"/>
  <c r="Q151" i="45" s="1" a="1"/>
  <c r="Q151" i="45" s="1"/>
  <c r="P152" i="45"/>
  <c r="Q152" i="45" s="1" a="1"/>
  <c r="Q152" i="45" s="1"/>
  <c r="P153" i="45"/>
  <c r="Q153" i="45" s="1" a="1"/>
  <c r="Q153" i="45" s="1"/>
  <c r="P154" i="45"/>
  <c r="Q154" i="45" s="1" a="1"/>
  <c r="Q154" i="45" s="1"/>
  <c r="P155" i="45"/>
  <c r="Q155" i="45" s="1" a="1"/>
  <c r="Q155" i="45" s="1"/>
  <c r="P156" i="45"/>
  <c r="Q156" i="45" s="1" a="1"/>
  <c r="Q156" i="45" s="1"/>
  <c r="P157" i="45"/>
  <c r="P159" i="45"/>
  <c r="Q159" i="45" s="1" a="1"/>
  <c r="Q159" i="45" s="1"/>
  <c r="P158" i="45"/>
  <c r="P160" i="45"/>
  <c r="Q160" i="45" s="1" a="1"/>
  <c r="Q160" i="45" s="1"/>
  <c r="P161" i="45"/>
  <c r="Q161" i="45" s="1" a="1"/>
  <c r="Q161" i="45" s="1"/>
  <c r="P162" i="45"/>
  <c r="Q162" i="45" s="1" a="1"/>
  <c r="Q162" i="45" s="1"/>
  <c r="P163" i="45"/>
  <c r="Q163" i="45" s="1" a="1"/>
  <c r="Q163" i="45" s="1"/>
  <c r="P164" i="45"/>
  <c r="Q164" i="45" s="1" a="1"/>
  <c r="Q164" i="45" s="1"/>
  <c r="P165" i="45"/>
  <c r="Q165" i="45" s="1" a="1"/>
  <c r="Q165" i="45" s="1"/>
  <c r="P166" i="45"/>
  <c r="Q166" i="45" s="1" a="1"/>
  <c r="Q166" i="45" s="1"/>
  <c r="P167" i="45"/>
  <c r="Q167" i="45" s="1" a="1"/>
  <c r="Q167" i="45" s="1"/>
  <c r="P168" i="45"/>
  <c r="Q168" i="45" s="1" a="1"/>
  <c r="Q168" i="45" s="1"/>
  <c r="P169" i="45"/>
  <c r="Q169" i="45" s="1" a="1"/>
  <c r="Q169" i="45" s="1"/>
  <c r="P170" i="45"/>
  <c r="P171" i="45"/>
  <c r="Q171" i="45" s="1" a="1"/>
  <c r="Q171" i="45" s="1"/>
  <c r="P172" i="45"/>
  <c r="Q172" i="45" s="1" a="1"/>
  <c r="Q172" i="45" s="1"/>
  <c r="P173" i="45"/>
  <c r="Q173" i="45" s="1" a="1"/>
  <c r="Q173" i="45" s="1"/>
  <c r="P174" i="45"/>
  <c r="Q174" i="45" s="1" a="1"/>
  <c r="Q174" i="45" s="1"/>
  <c r="P176" i="45"/>
  <c r="Q176" i="45" s="1" a="1"/>
  <c r="Q176" i="45" s="1"/>
  <c r="P177" i="45"/>
  <c r="Q177" i="45" s="1" a="1"/>
  <c r="Q177" i="45" s="1"/>
  <c r="P178" i="45"/>
  <c r="Q178" i="45" s="1" a="1"/>
  <c r="Q178" i="45" s="1"/>
  <c r="P180" i="45"/>
  <c r="Q180" i="45" s="1" a="1"/>
  <c r="Q180" i="45" s="1"/>
  <c r="P181" i="45"/>
  <c r="Q181" i="45" s="1" a="1"/>
  <c r="Q181" i="45" s="1"/>
  <c r="P182" i="45"/>
  <c r="Q182" i="45" s="1" a="1"/>
  <c r="Q182" i="45" s="1"/>
  <c r="P183" i="45"/>
  <c r="Q183" i="45" s="1" a="1"/>
  <c r="Q183" i="45" s="1"/>
  <c r="E3" i="50" l="1"/>
  <c r="E413" i="45"/>
  <c r="E412" i="45"/>
  <c r="E411" i="45"/>
  <c r="S6" i="45" l="1"/>
  <c r="S84" i="45"/>
  <c r="S125" i="45"/>
  <c r="S139" i="45"/>
  <c r="S44" i="45"/>
  <c r="S164" i="45"/>
  <c r="S82" i="45"/>
  <c r="S231" i="45"/>
  <c r="S95" i="45"/>
  <c r="S7" i="45"/>
  <c r="S65" i="45"/>
  <c r="S183" i="45"/>
  <c r="S89" i="45"/>
  <c r="S87" i="45"/>
  <c r="S88" i="45"/>
  <c r="S134" i="45"/>
  <c r="S127" i="45"/>
  <c r="S76" i="45"/>
  <c r="S22" i="45"/>
  <c r="S94" i="45"/>
  <c r="S71" i="45"/>
  <c r="S42" i="45"/>
  <c r="S153" i="45"/>
  <c r="S251" i="45"/>
  <c r="S8" i="45"/>
  <c r="S25" i="45"/>
  <c r="S19" i="45"/>
  <c r="S155" i="45"/>
  <c r="S62" i="45"/>
  <c r="S34" i="45"/>
  <c r="S116" i="45"/>
  <c r="S11" i="45"/>
  <c r="S185" i="45"/>
  <c r="S78" i="45"/>
  <c r="S170" i="45"/>
  <c r="S173" i="45"/>
  <c r="S101" i="45"/>
  <c r="S90" i="45"/>
  <c r="S168" i="45"/>
  <c r="S142" i="45"/>
  <c r="S14" i="45"/>
  <c r="S119" i="45"/>
  <c r="S79" i="45"/>
  <c r="S43" i="45"/>
  <c r="S31" i="45"/>
  <c r="S32" i="45"/>
  <c r="S112" i="45"/>
  <c r="S115" i="45"/>
  <c r="S114" i="45"/>
  <c r="S122" i="45"/>
  <c r="S75" i="45"/>
  <c r="S80" i="45"/>
  <c r="S50" i="45"/>
  <c r="S60" i="45"/>
  <c r="S92" i="45"/>
  <c r="S15" i="45"/>
  <c r="S68" i="45"/>
  <c r="S306" i="45"/>
  <c r="S58" i="45"/>
  <c r="S83" i="45"/>
  <c r="S118" i="45"/>
  <c r="S244" i="45"/>
  <c r="S47" i="45"/>
  <c r="S178" i="45"/>
  <c r="S111" i="45"/>
  <c r="S9" i="45"/>
  <c r="S99" i="45"/>
  <c r="S126" i="45"/>
  <c r="S54" i="45"/>
  <c r="S117" i="45"/>
  <c r="S46" i="45"/>
  <c r="S177" i="45"/>
  <c r="S5" i="45"/>
  <c r="S249" i="45"/>
  <c r="S191" i="45"/>
  <c r="S97" i="45"/>
  <c r="S109" i="45"/>
  <c r="S152" i="45"/>
  <c r="S165" i="45"/>
  <c r="S107" i="45"/>
  <c r="S236" i="45"/>
  <c r="S140" i="45"/>
  <c r="S67" i="45"/>
  <c r="S228" i="45"/>
  <c r="S100" i="45"/>
  <c r="S55" i="45"/>
  <c r="S30" i="45"/>
  <c r="S124" i="45"/>
  <c r="S37" i="45"/>
  <c r="S294" i="45"/>
  <c r="S13" i="45"/>
  <c r="S59" i="45"/>
  <c r="S104" i="45"/>
  <c r="S229" i="45"/>
  <c r="S105" i="45"/>
  <c r="S297" i="45"/>
  <c r="S16" i="45"/>
  <c r="S243" i="45"/>
  <c r="S145" i="45"/>
  <c r="S73" i="45"/>
  <c r="S61" i="45"/>
  <c r="S301" i="45"/>
  <c r="S248" i="45"/>
  <c r="S305" i="45"/>
  <c r="S211" i="45"/>
  <c r="S300" i="45"/>
  <c r="S108" i="45"/>
  <c r="S194" i="45"/>
  <c r="S293" i="45"/>
  <c r="S303" i="45"/>
  <c r="S45" i="45"/>
  <c r="S41" i="45"/>
  <c r="S113" i="45"/>
  <c r="S290" i="45"/>
  <c r="S302" i="45"/>
  <c r="S110" i="45"/>
  <c r="S98" i="45"/>
  <c r="S298" i="45"/>
  <c r="S331" i="45"/>
  <c r="S277" i="45"/>
  <c r="S337" i="45"/>
  <c r="S269" i="45"/>
  <c r="S176" i="45"/>
  <c r="S286" i="45"/>
  <c r="S273" i="45"/>
  <c r="S330" i="45"/>
  <c r="S91" i="45"/>
  <c r="S137" i="45"/>
  <c r="S281" i="45"/>
  <c r="S341" i="45"/>
  <c r="S66" i="45"/>
  <c r="S291" i="45"/>
  <c r="S295" i="45"/>
  <c r="S276" i="45"/>
  <c r="S280" i="45"/>
  <c r="S40" i="45"/>
  <c r="S272" i="45"/>
  <c r="S275" i="45"/>
  <c r="S271" i="45"/>
  <c r="S326" i="45"/>
  <c r="S322" i="45"/>
  <c r="S288" i="45"/>
  <c r="S325" i="45"/>
  <c r="S270" i="45"/>
  <c r="S327" i="45"/>
  <c r="S296" i="45"/>
  <c r="S299" i="45"/>
  <c r="S38" i="45"/>
  <c r="S284" i="45"/>
  <c r="S29" i="45"/>
  <c r="S259" i="45"/>
  <c r="S329" i="45"/>
  <c r="S274" i="45"/>
  <c r="S263" i="45"/>
  <c r="S121" i="45"/>
  <c r="S324" i="45"/>
  <c r="S328" i="45"/>
  <c r="S287" i="45"/>
  <c r="S340" i="45"/>
  <c r="S265" i="45"/>
  <c r="S216" i="45"/>
  <c r="S314" i="45"/>
  <c r="S217" i="45"/>
  <c r="S264" i="45"/>
  <c r="S106" i="45"/>
  <c r="S289" i="45"/>
  <c r="S292" i="45"/>
  <c r="S225" i="45"/>
  <c r="S209" i="45"/>
  <c r="S260" i="45"/>
  <c r="S226" i="45"/>
  <c r="S283" i="45"/>
  <c r="S257" i="45"/>
  <c r="S315" i="45"/>
  <c r="S335" i="45"/>
  <c r="S262" i="45"/>
  <c r="S333" i="45"/>
  <c r="S332" i="45"/>
  <c r="S33" i="45"/>
  <c r="S255" i="45"/>
  <c r="S349" i="45"/>
  <c r="S372" i="45"/>
  <c r="S316" i="45"/>
  <c r="S143" i="45"/>
  <c r="S128" i="45"/>
  <c r="S21" i="45"/>
  <c r="S355" i="45"/>
  <c r="S379" i="45"/>
  <c r="S304" i="45"/>
  <c r="S12" i="45"/>
  <c r="S375" i="45"/>
  <c r="S219" i="45"/>
  <c r="S384" i="45"/>
  <c r="S227" i="45"/>
  <c r="S360" i="45"/>
  <c r="S77" i="45"/>
  <c r="S27" i="45"/>
  <c r="S144" i="45"/>
  <c r="S363" i="45"/>
  <c r="S390" i="45"/>
  <c r="S220" i="45"/>
  <c r="S147" i="45"/>
  <c r="S394" i="45"/>
  <c r="S350" i="45"/>
  <c r="S51" i="45"/>
  <c r="S342" i="45"/>
  <c r="S367" i="45"/>
  <c r="S221" i="45"/>
  <c r="S374" i="45"/>
  <c r="S258" i="45"/>
  <c r="S135" i="45"/>
  <c r="S235" i="45"/>
  <c r="S72" i="45"/>
  <c r="S146" i="45"/>
  <c r="S131" i="45"/>
  <c r="S344" i="45"/>
  <c r="S223" i="45"/>
  <c r="S63" i="45"/>
  <c r="S334" i="45"/>
  <c r="S370" i="45"/>
  <c r="S318" i="45"/>
  <c r="S169" i="45"/>
  <c r="S18" i="45"/>
  <c r="S387" i="45"/>
  <c r="S64" i="45"/>
  <c r="S120" i="45"/>
  <c r="S17" i="45"/>
  <c r="S186" i="45"/>
  <c r="S102" i="45"/>
  <c r="S351" i="45"/>
  <c r="S197" i="45"/>
  <c r="S345" i="45"/>
  <c r="S199" i="45"/>
  <c r="S307" i="45"/>
  <c r="S356" i="45"/>
  <c r="S214" i="45"/>
  <c r="S132" i="45"/>
  <c r="S253" i="45"/>
  <c r="S380" i="45"/>
  <c r="S252" i="45"/>
  <c r="S279" i="45"/>
  <c r="S234" i="45"/>
  <c r="S377" i="45"/>
  <c r="S53" i="45"/>
  <c r="S386" i="45"/>
  <c r="S203" i="45"/>
  <c r="S218" i="45"/>
  <c r="S150" i="45"/>
  <c r="S222" i="45"/>
  <c r="S321" i="45"/>
  <c r="S171" i="45"/>
  <c r="S369" i="45"/>
  <c r="S52" i="45"/>
  <c r="S159" i="45"/>
  <c r="S138" i="45"/>
  <c r="S311" i="45"/>
  <c r="S10" i="45"/>
  <c r="S49" i="45"/>
  <c r="S69" i="45"/>
  <c r="S123" i="45"/>
  <c r="S399" i="45"/>
  <c r="S130" i="45"/>
  <c r="S56" i="45"/>
  <c r="S96" i="45"/>
  <c r="S261" i="45"/>
  <c r="S393" i="45"/>
  <c r="S385" i="45"/>
  <c r="S149" i="45"/>
  <c r="S365" i="45"/>
  <c r="S103" i="45"/>
  <c r="S48" i="45"/>
  <c r="S162" i="45"/>
  <c r="S237" i="45"/>
  <c r="S188" i="45"/>
  <c r="S141" i="45"/>
  <c r="S376" i="45"/>
  <c r="S362" i="45"/>
  <c r="S368" i="45"/>
  <c r="S339" i="45"/>
  <c r="S357" i="45"/>
  <c r="S396" i="45"/>
  <c r="S238" i="45"/>
  <c r="S319" i="45"/>
  <c r="S20" i="45"/>
  <c r="S204" i="45"/>
  <c r="S39" i="45"/>
  <c r="S93" i="45"/>
  <c r="S129" i="45"/>
  <c r="S210" i="45"/>
  <c r="S320" i="45"/>
  <c r="S193" i="45"/>
  <c r="S239" i="45"/>
  <c r="S395" i="45"/>
  <c r="S156" i="45"/>
  <c r="S189" i="45"/>
  <c r="S381" i="45"/>
  <c r="S181" i="45"/>
  <c r="S398" i="45"/>
  <c r="S167" i="45"/>
  <c r="S358" i="45"/>
  <c r="S179" i="45"/>
  <c r="S215" i="45"/>
  <c r="S359" i="45"/>
  <c r="S166" i="45"/>
  <c r="S254" i="45"/>
  <c r="S201" i="45"/>
  <c r="S371" i="45"/>
  <c r="S346" i="45"/>
  <c r="S202" i="45"/>
  <c r="S172" i="45"/>
  <c r="S23" i="45"/>
  <c r="S323" i="45"/>
  <c r="S70" i="45"/>
  <c r="S230" i="45"/>
  <c r="S81" i="45"/>
  <c r="S233" i="45"/>
  <c r="S241" i="45"/>
  <c r="S232" i="45"/>
  <c r="S24" i="45"/>
  <c r="S86" i="45"/>
  <c r="S313" i="45"/>
  <c r="S338" i="45"/>
  <c r="S136" i="45"/>
  <c r="S175" i="45"/>
  <c r="S28" i="45"/>
  <c r="S3" i="45"/>
  <c r="S245" i="45"/>
  <c r="S180" i="45"/>
  <c r="S213" i="45"/>
  <c r="S4" i="45"/>
  <c r="S154" i="45"/>
  <c r="S182" i="45"/>
  <c r="S157" i="45"/>
  <c r="S195" i="45"/>
  <c r="S161" i="45"/>
  <c r="S373" i="45"/>
  <c r="S85" i="45"/>
  <c r="S343" i="45"/>
  <c r="S163" i="45"/>
  <c r="S133" i="45"/>
  <c r="S2" i="45"/>
  <c r="S184" i="45"/>
  <c r="S352" i="45"/>
  <c r="S196" i="45"/>
  <c r="S312" i="45"/>
  <c r="S397" i="45"/>
  <c r="S378" i="45"/>
  <c r="S388" i="45"/>
  <c r="S308" i="45"/>
  <c r="S391" i="45"/>
  <c r="S361" i="45"/>
  <c r="S36" i="45"/>
  <c r="S250" i="45"/>
  <c r="S246" i="45"/>
  <c r="S347" i="45"/>
  <c r="S353" i="45"/>
  <c r="S208" i="45"/>
  <c r="S205" i="45"/>
  <c r="S348" i="45"/>
  <c r="S160" i="45"/>
  <c r="S382" i="45"/>
  <c r="S310" i="45"/>
  <c r="S26" i="45"/>
  <c r="S174" i="45"/>
  <c r="S266" i="45"/>
  <c r="S242" i="45"/>
  <c r="S317" i="45"/>
  <c r="S192" i="45"/>
  <c r="S158" i="45"/>
  <c r="S148" i="45"/>
  <c r="S190" i="45"/>
  <c r="S247" i="45"/>
  <c r="S389" i="45"/>
  <c r="S207" i="45"/>
  <c r="S267" i="45"/>
  <c r="S256" i="45"/>
  <c r="S74" i="45"/>
  <c r="S206" i="45"/>
  <c r="S366" i="45"/>
  <c r="S392" i="45"/>
  <c r="S240" i="45"/>
  <c r="S35" i="45"/>
  <c r="S309" i="45"/>
  <c r="S282" i="45"/>
  <c r="S354" i="45"/>
  <c r="S198" i="45"/>
  <c r="S187" i="45"/>
  <c r="S200" i="45"/>
  <c r="S278" i="45"/>
  <c r="S212" i="45"/>
  <c r="S57" i="45"/>
  <c r="E15" i="48" s="1"/>
  <c r="N15" i="48" s="1"/>
  <c r="S285" i="45"/>
  <c r="S151" i="45"/>
  <c r="S364" i="45"/>
  <c r="S383" i="45"/>
  <c r="S268" i="45"/>
  <c r="S224" i="45"/>
  <c r="S400" i="45"/>
  <c r="S401" i="45"/>
  <c r="S402" i="45"/>
  <c r="S403" i="45"/>
  <c r="S336" i="45"/>
  <c r="S404" i="45"/>
  <c r="S405" i="45"/>
  <c r="E14" i="48" l="1"/>
  <c r="N14" i="48" s="1"/>
  <c r="E14" i="50"/>
  <c r="Q14" i="50" s="1"/>
  <c r="E15" i="50"/>
  <c r="E13" i="50"/>
  <c r="Q13" i="50" s="1"/>
  <c r="E13" i="48"/>
  <c r="K13" i="48" s="1"/>
  <c r="E12" i="50"/>
  <c r="E11" i="50"/>
  <c r="E10" i="50"/>
  <c r="E9" i="50"/>
  <c r="E8" i="50"/>
  <c r="E7" i="50"/>
  <c r="E6" i="50"/>
  <c r="E5" i="50"/>
  <c r="E4" i="50"/>
  <c r="M15" i="48"/>
  <c r="O9" i="48"/>
  <c r="Q8" i="48"/>
  <c r="P9" i="48"/>
  <c r="Q6" i="48"/>
  <c r="Q9" i="48"/>
  <c r="P8" i="48"/>
  <c r="O8" i="48"/>
  <c r="Q5" i="48"/>
  <c r="Q7" i="48"/>
  <c r="Q4" i="48"/>
  <c r="P6" i="48"/>
  <c r="P7" i="48"/>
  <c r="P5" i="48"/>
  <c r="P4" i="48"/>
  <c r="O5" i="48"/>
  <c r="O6" i="48"/>
  <c r="O7" i="48"/>
  <c r="O4" i="48"/>
  <c r="K15" i="48"/>
  <c r="L15" i="48"/>
  <c r="J15" i="48"/>
  <c r="E9" i="48"/>
  <c r="M9" i="48" s="1"/>
  <c r="E8" i="48"/>
  <c r="M8" i="48" s="1"/>
  <c r="E7" i="48"/>
  <c r="M7" i="48" s="1"/>
  <c r="E6" i="48"/>
  <c r="M6" i="48" s="1"/>
  <c r="E5" i="48"/>
  <c r="M5" i="48" s="1"/>
  <c r="E4" i="48"/>
  <c r="M4" i="48" s="1"/>
  <c r="J14" i="48" l="1"/>
  <c r="K14" i="48"/>
  <c r="L14" i="48"/>
  <c r="M14" i="48"/>
  <c r="F7" i="50"/>
  <c r="F15" i="48"/>
  <c r="F14" i="48"/>
  <c r="N13" i="48"/>
  <c r="F13" i="48"/>
  <c r="J13" i="48"/>
  <c r="L13" i="48"/>
  <c r="M13" i="48"/>
  <c r="F3" i="50"/>
  <c r="F4" i="50"/>
  <c r="F8" i="50"/>
  <c r="O14" i="50"/>
  <c r="P14" i="50"/>
  <c r="O13" i="50"/>
  <c r="P13" i="50"/>
  <c r="M14" i="50"/>
  <c r="N14" i="50"/>
  <c r="M13" i="50"/>
  <c r="N13" i="50"/>
  <c r="F9" i="50"/>
  <c r="L13" i="50"/>
  <c r="L14" i="50"/>
  <c r="F12" i="50"/>
  <c r="F13" i="50"/>
  <c r="F14" i="50"/>
  <c r="F10" i="50"/>
  <c r="F11" i="50"/>
  <c r="F5" i="50"/>
  <c r="F6" i="50"/>
  <c r="O3" i="50"/>
  <c r="O4" i="50"/>
  <c r="M12" i="50"/>
  <c r="N12" i="50"/>
  <c r="M11" i="50"/>
  <c r="N11" i="50"/>
  <c r="M10" i="50"/>
  <c r="N10" i="50"/>
  <c r="M9" i="50"/>
  <c r="N9" i="50"/>
  <c r="M8" i="50"/>
  <c r="N8" i="50"/>
  <c r="M7" i="50"/>
  <c r="N7" i="50"/>
  <c r="M6" i="50"/>
  <c r="N6" i="50"/>
  <c r="M5" i="50"/>
  <c r="N5" i="50"/>
  <c r="M4" i="50"/>
  <c r="N4" i="50"/>
  <c r="M3" i="50"/>
  <c r="N3" i="50"/>
  <c r="Q12" i="50"/>
  <c r="L12" i="50"/>
  <c r="Q11" i="50"/>
  <c r="L11" i="50"/>
  <c r="Q10" i="50"/>
  <c r="L10" i="50"/>
  <c r="Q9" i="50"/>
  <c r="L9" i="50"/>
  <c r="Q8" i="50"/>
  <c r="L8" i="50"/>
  <c r="Q7" i="50"/>
  <c r="L7" i="50"/>
  <c r="Q6" i="50"/>
  <c r="L6" i="50"/>
  <c r="Q5" i="50"/>
  <c r="L5" i="50"/>
  <c r="Q4" i="50"/>
  <c r="L4" i="50"/>
  <c r="Q3" i="50"/>
  <c r="L3" i="50"/>
  <c r="P11" i="50"/>
  <c r="P4" i="50"/>
  <c r="P12" i="50"/>
  <c r="P5" i="50"/>
  <c r="P6" i="50"/>
  <c r="P7" i="50"/>
  <c r="P8" i="50"/>
  <c r="P9" i="50"/>
  <c r="P10" i="50"/>
  <c r="P3" i="50"/>
  <c r="O12" i="50"/>
  <c r="O11" i="50"/>
  <c r="O10" i="50"/>
  <c r="O9" i="50"/>
  <c r="O8" i="50"/>
  <c r="O7" i="50"/>
  <c r="O6" i="50"/>
  <c r="O5" i="50"/>
  <c r="N8" i="48"/>
  <c r="N9" i="48"/>
  <c r="N5" i="48"/>
  <c r="N6" i="48"/>
  <c r="N7" i="48"/>
  <c r="J4" i="48"/>
  <c r="K6" i="48"/>
  <c r="J7" i="48"/>
  <c r="K7" i="48"/>
  <c r="J9" i="48"/>
  <c r="K4" i="48"/>
  <c r="J6" i="48"/>
  <c r="K8" i="48"/>
  <c r="K5" i="48"/>
  <c r="J8" i="48"/>
  <c r="K9" i="48"/>
  <c r="J5" i="48"/>
  <c r="E10" i="48"/>
  <c r="N4" i="48"/>
  <c r="L9" i="48"/>
  <c r="L5" i="48"/>
  <c r="L6" i="48"/>
  <c r="L7" i="48"/>
  <c r="L8" i="48"/>
  <c r="L4" i="48"/>
  <c r="F9" i="48"/>
  <c r="F8" i="48"/>
  <c r="F7" i="48"/>
  <c r="F6" i="48"/>
  <c r="F5" i="48"/>
  <c r="F4" i="4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<sst xmlns="http://schemas.openxmlformats.org/spreadsheetml/2006/main" count="817" uniqueCount="488">
  <si>
    <t>Video title</t>
  </si>
  <si>
    <t>Video publish time</t>
  </si>
  <si>
    <t>End screen element clicks</t>
  </si>
  <si>
    <t>Views</t>
  </si>
  <si>
    <t>Subscribers</t>
  </si>
  <si>
    <t>Impressions</t>
  </si>
  <si>
    <t>Revenue</t>
  </si>
  <si>
    <t>CTR</t>
  </si>
  <si>
    <t>Watch Time</t>
  </si>
  <si>
    <t>AWT (%)</t>
  </si>
  <si>
    <t>EMPs</t>
  </si>
  <si>
    <t>Video Length</t>
  </si>
  <si>
    <t>Length (Sec)</t>
  </si>
  <si>
    <t>Length Category</t>
  </si>
  <si>
    <t>Video Type</t>
  </si>
  <si>
    <t>Date Validator</t>
  </si>
  <si>
    <t>Views Validator</t>
  </si>
  <si>
    <t>A</t>
  </si>
  <si>
    <t>C</t>
  </si>
  <si>
    <t>B</t>
  </si>
  <si>
    <t>Short</t>
  </si>
  <si>
    <t>Mid</t>
  </si>
  <si>
    <t>Long</t>
  </si>
  <si>
    <t>Row Labels</t>
  </si>
  <si>
    <t>Grand Total</t>
  </si>
  <si>
    <t>Average of CTR</t>
  </si>
  <si>
    <t>Average of Impressions</t>
  </si>
  <si>
    <t>Average of Revenue</t>
  </si>
  <si>
    <t>Average of Subscribers</t>
  </si>
  <si>
    <t>Average of Views</t>
  </si>
  <si>
    <t>Average of AWT (%)</t>
  </si>
  <si>
    <t>TRUE</t>
  </si>
  <si>
    <t>Video Type Counts</t>
  </si>
  <si>
    <t>Count</t>
  </si>
  <si>
    <t>Percent</t>
  </si>
  <si>
    <t>D</t>
  </si>
  <si>
    <t>E</t>
  </si>
  <si>
    <t>F</t>
  </si>
  <si>
    <t>CTR %</t>
  </si>
  <si>
    <t>Video Length Counts</t>
  </si>
  <si>
    <t>TN A</t>
  </si>
  <si>
    <t>TN B</t>
  </si>
  <si>
    <t>TN C</t>
  </si>
  <si>
    <t>TN D</t>
  </si>
  <si>
    <t>TN E</t>
  </si>
  <si>
    <t>TN F</t>
  </si>
  <si>
    <t>TN G</t>
  </si>
  <si>
    <t>TN H</t>
  </si>
  <si>
    <t>TN I</t>
  </si>
  <si>
    <t>TN J</t>
  </si>
  <si>
    <t>Subs</t>
  </si>
  <si>
    <t>CPM (GBP)</t>
  </si>
  <si>
    <t>RPM (GBP)</t>
  </si>
  <si>
    <t>How Much Money I Earn in a Week as a Doctor &amp; YouTuber</t>
  </si>
  <si>
    <t>Day in the Life as a Doctor</t>
  </si>
  <si>
    <t>My Productivity Desk Setup</t>
  </si>
  <si>
    <t>My INSANELY Productive Morning Routine</t>
  </si>
  <si>
    <t>Study with Me + Anki Flashcard Method - Ali Abdaal</t>
  </si>
  <si>
    <t>Tiny Changes, Remarkable Results - Atomic Habits by James Clear</t>
  </si>
  <si>
    <t>How I take notes on my iPad Pro in medical school - Cambridge University medical student</t>
  </si>
  <si>
    <t>I WAS WRONG - iPad Pro 11 vs. 12.9 inch</t>
  </si>
  <si>
    <t>How I Bought a Brand New Tesla Half Price</t>
  </si>
  <si>
    <t>Is Reading Fiction a Waste of Time?</t>
  </si>
  <si>
    <t>My Favourite iPad Pro Apps</t>
  </si>
  <si>
    <t>A Simple Choice - iPad Pro vs MacBook Air (2020)</t>
  </si>
  <si>
    <t>What Makes People Successful?</t>
  </si>
  <si>
    <t>This is Incredible - iPad Pro Magic Keyboard Impressions</t>
  </si>
  <si>
    <t>iPad vs Macbook for Students - Can an iPad replace your Laptop?</t>
  </si>
  <si>
    <t>Study with Me + How I Learn New Content</t>
  </si>
  <si>
    <t>How To Make Money Online - The 3 Levels</t>
  </si>
  <si>
    <t>The 5 Magical Apps That Changed My Life</t>
  </si>
  <si>
    <t>My New Favourite Laptop - MacBook Air 2020 Review</t>
  </si>
  <si>
    <t>All the Apps I Use in a Day</t>
  </si>
  <si>
    <t>How to Stop Procrastinating</t>
  </si>
  <si>
    <t>How I use my iPad Pro as a Doctor</t>
  </si>
  <si>
    <t>How to study for exams - Evidence-based revision tips</t>
  </si>
  <si>
    <t>Revamping My Living Room - Day In The Life</t>
  </si>
  <si>
    <t>This is How Much YouTube Pays Me</t>
  </si>
  <si>
    <t>The Book That Changed My Relationship With Money</t>
  </si>
  <si>
    <t>How to Study for Exams - The STic Framework for Effective Learning</t>
  </si>
  <si>
    <t>How To Boost Productivity Without Apps</t>
  </si>
  <si>
    <t>How I Type REALLY Fast (156 Words per Minute)</t>
  </si>
  <si>
    <t>A Productive Day in the Life vlog</t>
  </si>
  <si>
    <t>How I Remember Everything I Read</t>
  </si>
  <si>
    <t>Study Tips - How to learn new content</t>
  </si>
  <si>
    <t>My Productive Birthday in Lockdown - Day in the Life Vlog</t>
  </si>
  <si>
    <t>How I ranked 1st at Cambridge University - The Essay Memorisation Framework</t>
  </si>
  <si>
    <t>Recommended Tech for Students</t>
  </si>
  <si>
    <t>How to be More Productive in Lockdown</t>
  </si>
  <si>
    <t>Productive Day in the Life in Lockdown // Behind the Scenes of my iPad Pro Videos</t>
  </si>
  <si>
    <t>Which iPad should you buy - Analysis of iPad Pro vs iPad Air vs iPad Mini vs iPad</t>
  </si>
  <si>
    <t>How to Film YouTube Videos on Your Phone</t>
  </si>
  <si>
    <t>What's on my iPhone - Favourite iPhone Apps ft. @Kharma Medic</t>
  </si>
  <si>
    <t>Study With Me - British Airways Business Class</t>
  </si>
  <si>
    <t>Apple Fanboy Reacts to Microsoft Surface Go 2</t>
  </si>
  <si>
    <t>Why Video Games Are Good for You</t>
  </si>
  <si>
    <t>The Perfect Note-Taking App</t>
  </si>
  <si>
    <t>The Second Brain - A Life-Changing Productivity System</t>
  </si>
  <si>
    <t>(Un)productive Day in the Life as a Doctor</t>
  </si>
  <si>
    <t>48h Study With Me + Highlighting Tips</t>
  </si>
  <si>
    <t>How Much Money I Spend in a Week as a 25 Year Old Doctor</t>
  </si>
  <si>
    <t>Reading Mean Comments</t>
  </si>
  <si>
    <t>Studying, Cooking and Netflix | Day in the Life During Lockdown</t>
  </si>
  <si>
    <t>I Tried Making a Viral Video - Day in the Life VLOG</t>
  </si>
  <si>
    <t>One Simple Habit that Changed My Life</t>
  </si>
  <si>
    <t>My Favourite Productivity Book</t>
  </si>
  <si>
    <t>Study With Me in the French Alps - USMLE Preparation</t>
  </si>
  <si>
    <t>How to see opportunities in EVERYTHING // The Obstacle is the Way</t>
  </si>
  <si>
    <t>My Favorite Mechanical Keyboard - IQUnix F96 Coral</t>
  </si>
  <si>
    <t>Final year begins - Cambridge University medical student VLOG #01</t>
  </si>
  <si>
    <t>Why Motivation is a Myth</t>
  </si>
  <si>
    <t>My Favourite Mac Apps in 2020 | What's on my MacBook Pro?</t>
  </si>
  <si>
    <t>15 Lessons that Improved My Life</t>
  </si>
  <si>
    <t>Study With Me + 10 Productivity / Revision Tips - Cambridge University medical student VLOG #31</t>
  </si>
  <si>
    <t>The Secret to Success - 'Grit' by Angela Duckworth // Book Summary</t>
  </si>
  <si>
    <t>iPad Pro Smart Keyboard Folio Review - My favourite typing experience of all time</t>
  </si>
  <si>
    <t>My Favourite Note-Taking App for Students - Notion (2020)</t>
  </si>
  <si>
    <t>How to Get Started with Investing</t>
  </si>
  <si>
    <t>iPad Pro 2020 Review - Overkill</t>
  </si>
  <si>
    <t>How my friend ranked 1st at Medical School - The Active Recall Framework</t>
  </si>
  <si>
    <t>My Creative Workflow with Notion</t>
  </si>
  <si>
    <t>My Favourite iPad Pro Apps (2020)</t>
  </si>
  <si>
    <t>Day in the Life as a Doctor (Gynaecology)</t>
  </si>
  <si>
    <t>How to study for exams - The Retrospective Revision Timetable</t>
  </si>
  <si>
    <t>The 5 Key Principles of Productivity</t>
  </si>
  <si>
    <t>How to Study for Exams - Spaced Repetition | Evidence-based revision tips</t>
  </si>
  <si>
    <t>iPad Pro 2018 Review - Should you buy it?</t>
  </si>
  <si>
    <t>How to Study for Exams - My NEW Masterclass // Behind the Scenes</t>
  </si>
  <si>
    <t>Study With Me - Weekend on-call</t>
  </si>
  <si>
    <t>How I Make My YouTube Videos</t>
  </si>
  <si>
    <t>The Best Productivity Apps for Students</t>
  </si>
  <si>
    <t>CORONAVIRUS vs. The Flu - A Comparison</t>
  </si>
  <si>
    <t>Study with me + More revision tips - Cambridge University medical student VLOG #34</t>
  </si>
  <si>
    <t>Life Advice Q&amp;A with my Brother</t>
  </si>
  <si>
    <t>Music, Reading and Note-Taking - Productive Day in the Life</t>
  </si>
  <si>
    <t>Study with me + The Magic of Categorisation - Cambridge University medical student VLOG #38</t>
  </si>
  <si>
    <t>Unboxing the New 2020 iPad Pro | 11 &amp; 12.9 Inch Versions</t>
  </si>
  <si>
    <t>How To Maximise Opportunity and Success</t>
  </si>
  <si>
    <t>What REALLY motivates us?</t>
  </si>
  <si>
    <t>What's on my iPhone 11 Pro Max (2020)</t>
  </si>
  <si>
    <t>Study with Me - Hustle &amp; Chill</t>
  </si>
  <si>
    <t>My first lecture for medical students - Cambridge University medical student VLOG #09</t>
  </si>
  <si>
    <t>My Failures and Rejections: The Lessons I Learned</t>
  </si>
  <si>
    <t>The Productivity Equation</t>
  </si>
  <si>
    <t>Interviewing a Writer // Day in the Life VLOG</t>
  </si>
  <si>
    <t>iPad Pro vs iPad (2018) comparison for college / university students</t>
  </si>
  <si>
    <t>Is Coffee Good For You?</t>
  </si>
  <si>
    <t>Cambridge International Mental Health Conference - Cambridge University medical student VLOG #08</t>
  </si>
  <si>
    <t>Collecting My Tesla Model 3 - Day In The Life</t>
  </si>
  <si>
    <t>Study with Me + Revision tips from friends - Cambridge University medical student VLOG #32</t>
  </si>
  <si>
    <t>Smart Passive Income + The Third Door - Monthly Favourites #11</t>
  </si>
  <si>
    <t>Learn Anything With Flashcards - The Ultimate Guide To Anki</t>
  </si>
  <si>
    <t>Mail Time with Dr. Ali - Day in the Life</t>
  </si>
  <si>
    <t>A day on Senior Medicine placement - Cambridge University medical student VLOG #05</t>
  </si>
  <si>
    <t>Study with me + My revision method - Cambridge University medical student VLOG #30</t>
  </si>
  <si>
    <t>Journey to placement - Cambridge University medical student VLOG #02</t>
  </si>
  <si>
    <t>My Favourite Mac Apps - What's on my Macbook Pro</t>
  </si>
  <si>
    <t>Obstetrics, Gynaecology and Baking - Cambridge University medical student VLOG #06</t>
  </si>
  <si>
    <t>CORONAVIRUS (COVID-19) - The Basics</t>
  </si>
  <si>
    <t>My Favourite iPhone XS Apps</t>
  </si>
  <si>
    <t>Interview Tips - How to answer "Why Medicine?"</t>
  </si>
  <si>
    <t>Wilderness Medicine Expedition - Cambridge University medical student VLOG #03</t>
  </si>
  <si>
    <t>How I Organise My Life with Roam</t>
  </si>
  <si>
    <t>How I Watch TV Productively</t>
  </si>
  <si>
    <t>Study Tips with Dr Simon Clark</t>
  </si>
  <si>
    <t>6 tips for Medicine MMIs - Multiple Mini Interviews</t>
  </si>
  <si>
    <t>Midnight Medical Emergency - Cambridge University medical student VLOG #04</t>
  </si>
  <si>
    <t>Medical School Meme Review</t>
  </si>
  <si>
    <t>Improve your Reading + My New Favourite Pen</t>
  </si>
  <si>
    <t>Apple picking in the Queen's orchards - Cambridge University medical student VLOG #07</t>
  </si>
  <si>
    <t>BMAT Section 1 - Everything you need to know | BMAT Tips series</t>
  </si>
  <si>
    <t>How to answer Medical Ethics interview questions</t>
  </si>
  <si>
    <t>Payphone (Maroon 5) - Katherine Macfarland &amp; Ali Abdaal acoustic cover</t>
  </si>
  <si>
    <t>Euthanasia - Medical Ethics and Law at the end of life</t>
  </si>
  <si>
    <t>Apple Watch Series 4 Review</t>
  </si>
  <si>
    <t>Malignant haematology supervision - Cambridge University medical student VLOG #12</t>
  </si>
  <si>
    <t>Procrastinating before finals - Cambridge University medical student VLOG #19</t>
  </si>
  <si>
    <t>BMAT Section 2 - Everything you need to know | BMAT Tips series</t>
  </si>
  <si>
    <t>Answering your Questions</t>
  </si>
  <si>
    <t>Ready Player One + 'My First Million' - Monthly Favourites #12</t>
  </si>
  <si>
    <t>Medicine Interview Questions - How to answer "Why should we choose you?"</t>
  </si>
  <si>
    <t>All of Me (John Legend) - Duranka Perera</t>
  </si>
  <si>
    <t>Crushes, Challenges and Irritating Habits - Q&amp;A With My Roommate Molly</t>
  </si>
  <si>
    <t>Speaking on Live TV - Cambridge University medical student VLOG #10</t>
  </si>
  <si>
    <t>How to prepare for Medicine Interviews</t>
  </si>
  <si>
    <t>Finals study sesh - Cambridge University medical student VLOG #17</t>
  </si>
  <si>
    <t>Ambulance Day - Cambridge University medical student VLOG #15</t>
  </si>
  <si>
    <t>How to Make Money from your Passion</t>
  </si>
  <si>
    <t>Finishing finals - Cambridge University medical student VLOG #20</t>
  </si>
  <si>
    <t>Consent, Capacity and Jehovah's Witnesses - Medical Ethics &amp; Law for interviews</t>
  </si>
  <si>
    <t>Preparing for the SJT - Cambridge University medical student VLOG #21</t>
  </si>
  <si>
    <t>Why I'm starting a Vlog - Cambridge Medical Elective #01</t>
  </si>
  <si>
    <t>We're trying something new... | Medical Students Making an App - Episode 1</t>
  </si>
  <si>
    <t>Clinical School Pantomime audition - Cambridge University medical student VLOG #11</t>
  </si>
  <si>
    <t>The Children's Surgical Centre (Cambodia) - Cambridge Medial Elective #02</t>
  </si>
  <si>
    <t>Magic, pizza and SJT - Cambridge University medical student VLOG #22</t>
  </si>
  <si>
    <t>How to prepare for BMAT Section 2 Chemistry | BMAT Tips series</t>
  </si>
  <si>
    <t>Applying to Medicine at Oxford or Cambridge - Questions to ask yourself, open days, stereotypes</t>
  </si>
  <si>
    <t>How to write a Medicine Personal Statement - 13 tips</t>
  </si>
  <si>
    <t>The Happiness Advantage (Shawn Achor) - Book Summary</t>
  </si>
  <si>
    <t>Speaking at a Medical Tech Conference - Cambridge University medical student VLOG #13</t>
  </si>
  <si>
    <t>ONE MILLION Subscribers Q&amp;A</t>
  </si>
  <si>
    <t>Breaking Bad News / Death &amp; Dying - Cambridge medical student VLOG #25</t>
  </si>
  <si>
    <t>How to prepare for BMAT Section 2 Physics, even if you're not doing it at A-Level | BMAT Tips series</t>
  </si>
  <si>
    <t>Singing carols in the hospital - Cambridge University medical student VLOG #18</t>
  </si>
  <si>
    <t>Life Support Training - Cambridge University medical student VLOG #24</t>
  </si>
  <si>
    <t>Why I'm Giving 10% of my Income to Charity</t>
  </si>
  <si>
    <t>BMAT Section 2 Chemistry - How to speed up your calculations | BMAT Tips series</t>
  </si>
  <si>
    <t>How to prepare for BMAT Section 2 Biology | BMAT Tips series</t>
  </si>
  <si>
    <t>Medicine Interview Tips - Talking about Work Experience</t>
  </si>
  <si>
    <t>Rolling in the Deep (Adele) - Duranka Perera &amp; Ali Abdaal acoustic cover</t>
  </si>
  <si>
    <t>Charlie Gard - Medical Ethics and Law</t>
  </si>
  <si>
    <t>University Freshers - 5 Top Tips (2018)</t>
  </si>
  <si>
    <t>BMAT Section 2 Maths - 3 tips to boost your score | BMAT Tips Series</t>
  </si>
  <si>
    <t>Academic Foundation Programme (AFP) - Why should you apply?</t>
  </si>
  <si>
    <t>Flying a drone around Iceland - Winter VLOG</t>
  </si>
  <si>
    <t>10 Study Tips - Q&amp;A</t>
  </si>
  <si>
    <t>Oxbridge Medicine Interview - 15 Tips (Oxford / Cambridge)</t>
  </si>
  <si>
    <t>Cambridge Medicine Interview - Experiences of 8 students</t>
  </si>
  <si>
    <t>My first camera stabiliser - Zhiyun Crane v2 gimbal review</t>
  </si>
  <si>
    <t>The confidence to speak up in class - A podcast experiment</t>
  </si>
  <si>
    <t>Another Day of Fun (La La Land) - The Prion King | Addenbrooke’s Hospital Pantomime 2018</t>
  </si>
  <si>
    <t>Monthly Favourites #5 - Ali Abdaal</t>
  </si>
  <si>
    <t>Oxbridge Medicine Interview - Q&amp;A</t>
  </si>
  <si>
    <t>Monthly Favourites #2 - Ali Abdaal</t>
  </si>
  <si>
    <t>Sunset over Phnom Penh (Cambodia) - Cambridge Medical Elective #06</t>
  </si>
  <si>
    <t>When I Was Your Man (Bruno Mars) - Duranka Perera cover</t>
  </si>
  <si>
    <t>Monthly Favourites #1 - Ali Abdaal</t>
  </si>
  <si>
    <t>How to Save a Life (The Fray) - Duranka Perera cover</t>
  </si>
  <si>
    <t>The Man Who Can't Be Moved (The Script) - Duranka Perera &amp; Ali Abdaal acoustic cover</t>
  </si>
  <si>
    <t>Building A Second Brain - Deep Dive with Tiago Forte</t>
  </si>
  <si>
    <t>What happens after medical school - UK medical training explained</t>
  </si>
  <si>
    <t>[PRIVATE] Sherwood Quartet Audition</t>
  </si>
  <si>
    <t>Aliyah + Zayd - A wedding video</t>
  </si>
  <si>
    <t>Animating the prototype | Medical Students Making an App - Episode 5</t>
  </si>
  <si>
    <t>The Best iPad Screen Protector - Paperlike V2</t>
  </si>
  <si>
    <t>Arrogance, Expectations &amp; Inspiration - Personal Q&amp;A with my Brother | Ali &amp; Taimur Abdaal</t>
  </si>
  <si>
    <t>Building Businesses, Websites &amp; Travelling the World - Deep Dive with John O'Nolan (CEO of Ghost)</t>
  </si>
  <si>
    <t>Test</t>
  </si>
  <si>
    <t>Homemade Microsurgery Method - BSSH Educational Presentation Entry - Seb Tillie &amp; Ali Abdaal</t>
  </si>
  <si>
    <t>6med MMI Crash Course - In a Nutshell</t>
  </si>
  <si>
    <t>Writing, Measuring Success and Stoicism - Deep Dive with Ryan Holiday</t>
  </si>
  <si>
    <t>BMAT Crash Course Instructors Guide - Part 1</t>
  </si>
  <si>
    <t>James Arthur - "Say You Won't Let Go" | Acoustic cover ft. Matticus Vlogs</t>
  </si>
  <si>
    <t>Should you make videos in English?</t>
  </si>
  <si>
    <t>Live Stream - Tuesday Evening Hangout</t>
  </si>
  <si>
    <t>Project 1B Jason Mraz</t>
  </si>
  <si>
    <t>How to Organise Everything in Notion - Deep Dive with Valentin Perez</t>
  </si>
  <si>
    <t>Personality Isn't Permanent - Deep Dive with Benjamin Hardy</t>
  </si>
  <si>
    <t>Money, Relationships and Hair Loss - Answering your Assumptions</t>
  </si>
  <si>
    <t>Project 1C Adele</t>
  </si>
  <si>
    <t>Teatime with Ali - Live Q&amp;A</t>
  </si>
  <si>
    <t>Life Advice - 50k subs Q&amp;A</t>
  </si>
  <si>
    <t>How I Manage my Time as a Doctor + YouTuber - 9 Time Management Tips</t>
  </si>
  <si>
    <t>BMAT Crash Course Online - Ali Abdaal x 6med</t>
  </si>
  <si>
    <t>UCAT Online Course - Editors Guide 1</t>
  </si>
  <si>
    <t>Mind, Memory and Diet - Deep dive with Nelson Dellis</t>
  </si>
  <si>
    <t>[Private] Lister iOS App walkthrough for patients</t>
  </si>
  <si>
    <t>BMAT Crash Course Instructors Guide Part 2 - Problem Solving</t>
  </si>
  <si>
    <t>A year on YouTube - Channel / life update</t>
  </si>
  <si>
    <t>Private - Atomic Habits Video Final Cut (Ali)</t>
  </si>
  <si>
    <t>Lacrosse and A&amp;E - Cambridge University medical student VLOG #26</t>
  </si>
  <si>
    <t>How I Built a Million Dollar Business in Medical School - 10 Tips for Entrepreneurs</t>
  </si>
  <si>
    <t>Behind the scenes of Cambridge University Medical School - Med student VLOG #35</t>
  </si>
  <si>
    <t>Mindset, Success and Resilience - Deep dive with Bobby Seagull</t>
  </si>
  <si>
    <t>General Surgery - A Day in the Life - Junior Doctor Vlog</t>
  </si>
  <si>
    <t>How I Read 100 Books a Year - 8 Tips for Reading More</t>
  </si>
  <si>
    <t>Proximie Prototype 1 (12th July 2017)</t>
  </si>
  <si>
    <t>Final year exam results - Cambridge University medical student VLOG #39</t>
  </si>
  <si>
    <t>Tech, Creativity and Vlogs- Deep dive with Sara Dietschy</t>
  </si>
  <si>
    <t>Let It Go (James Bay) + Stitches (Shawn Mendes) Mashup - Sam Ahmed [Esayem Music] &amp; Suhail Idrees</t>
  </si>
  <si>
    <t>[Private] Email Newsletter to Blog Post Conversion</t>
  </si>
  <si>
    <t>How to design an app | Medical Students Making an App - Episode 4</t>
  </si>
  <si>
    <t>Medical Mission in Sudan - Life as a Junior Doctor</t>
  </si>
  <si>
    <t>Building a Life-Changing Blog, Knowledge Management &amp; 4-Hour Work Weeks - Deep Dive with Nat Eliason</t>
  </si>
  <si>
    <t>BASB Mentor Intro - Ali Abdaal</t>
  </si>
  <si>
    <t>Social Skills, Nomadic Life and Relationships - Deep Dive with Tynan</t>
  </si>
  <si>
    <t>My 2019 Annual Review using Notion</t>
  </si>
  <si>
    <t>How Stoicism Made Me Happier</t>
  </si>
  <si>
    <t>Desk Setup Upgrade - 35" UltraWide Monitor | Life as a Junior Doctor</t>
  </si>
  <si>
    <t>10 Tips for COVID-19 (Coronavirus) - Advice from a Respiratory Physician</t>
  </si>
  <si>
    <t>Video Labs Session 6 - I Lost My Life Savings</t>
  </si>
  <si>
    <t>My Study Method + Revision Tools - Cambridge junior doctor</t>
  </si>
  <si>
    <t>Happy Birthday Mano!</t>
  </si>
  <si>
    <t>How to be a good junior doctor (ft. That Medic)</t>
  </si>
  <si>
    <t>BMAT Section 3 Essay - Everything you need to know | BMAT Tips series</t>
  </si>
  <si>
    <t>Remembering Fariha</t>
  </si>
  <si>
    <t>Studying Medicine in Eastern Europe - A comprehensive guide</t>
  </si>
  <si>
    <t>Study with Me + How I take Notes</t>
  </si>
  <si>
    <t>Exam Revision Tips with Ibz Mo</t>
  </si>
  <si>
    <t>Monthly Singing - Day 1 Intro Video</t>
  </si>
  <si>
    <t>Pakistan Society Ball - Cambridge University medical student VLOG #28</t>
  </si>
  <si>
    <t>Medicine Interview Questions - How to answer "What's your biggest weakness?"</t>
  </si>
  <si>
    <t>Study with Me + How I take notes - Cambridge University medical student VLOG #36</t>
  </si>
  <si>
    <t>Accent + Camera Presence</t>
  </si>
  <si>
    <t>Productivity with Dr Ali</t>
  </si>
  <si>
    <t>Ali Abdaal - Introduction | Part-Time YouTuber Academy</t>
  </si>
  <si>
    <t>BMAT Physics - Electricity + Formulae | BMAT Crash Course Online</t>
  </si>
  <si>
    <t>Reapplying to Medicine (UK) - A comprehensive guide</t>
  </si>
  <si>
    <t>AWAY Weekender Bag Review</t>
  </si>
  <si>
    <t>Wilderness Medicine in Dorset - Cambridge University medical student VLOG #40</t>
  </si>
  <si>
    <t>WE HAVE A COOL NAME | Medical Students Making an App - Episode 2</t>
  </si>
  <si>
    <t>What's in my Camera Bag - My YouTube + photography travel gear</t>
  </si>
  <si>
    <t>VideoLabs Intro - Ali Abdaal</t>
  </si>
  <si>
    <t>Fan Fiction, Hand Massages and Travelling the World - Deep Dive with UnJaded Jade</t>
  </si>
  <si>
    <t>My 7 Favourite iPad OS Features - Apple WWDC 2019</t>
  </si>
  <si>
    <t>My Favourite Productivity App for Students - Notion</t>
  </si>
  <si>
    <t>Temples of Siem Reap (Cambodia) - Cambridge Medical Elective #09</t>
  </si>
  <si>
    <t>Reading, Writing and Learning - Deep Dive with David Perell</t>
  </si>
  <si>
    <t>Living a Productive and Meaningful Life - Deep Dive with Khe Hy</t>
  </si>
  <si>
    <t>Productivity, Life, and Principles - Deep dive with Cliff Weitzman</t>
  </si>
  <si>
    <t>Study With Me - A Super Productive Day</t>
  </si>
  <si>
    <t>UCAT Crash Course Online - Trailer</t>
  </si>
  <si>
    <t>AirPods Pro Unboxing!</t>
  </si>
  <si>
    <t>Books, Studying and Productivity - Deep dive with Ruby Granger</t>
  </si>
  <si>
    <t>A Productive Day in Isolation</t>
  </si>
  <si>
    <t>Medicine Application - No offers?</t>
  </si>
  <si>
    <t>Study with Me - USMLE Prep</t>
  </si>
  <si>
    <t>BASB - Ali's Mentor Session Week 3</t>
  </si>
  <si>
    <t>iPad vs Kindle for Reading Books</t>
  </si>
  <si>
    <t>BMAT Crash Course Instructors Guide Part 3 - Physics S2</t>
  </si>
  <si>
    <t>Live Stream - Productive Isolation</t>
  </si>
  <si>
    <t>What We Learnt In 2 Years of Being Doctors - Deep Dive with Molly Hunt</t>
  </si>
  <si>
    <t>How to Spin a Pen - Thumb Around Pen Spinning Tutorial (2019)</t>
  </si>
  <si>
    <t>Monthly Favourites #4 - Ali Abdaal</t>
  </si>
  <si>
    <t>What's in my Bag - Junior Doctor Everyday Carry</t>
  </si>
  <si>
    <t>Building the perfect desk setup - 49" Ultrawide Monitor + Standing Desk</t>
  </si>
  <si>
    <t>Dr Omar - Goodbye video</t>
  </si>
  <si>
    <t>Ursa Mini Pro G2 4.6K Prores422 Test 1</t>
  </si>
  <si>
    <t>BMAT Crash Course Instructors Guide - How to teach Section 3</t>
  </si>
  <si>
    <t>6med BMAT Crash Course - In a Nutshell</t>
  </si>
  <si>
    <t>[Kev Feedback] Stic Method</t>
  </si>
  <si>
    <t>Be Productive with Me // Lockdown Live Stream</t>
  </si>
  <si>
    <t>Live Q&amp;A + Hangout - Bank Holiday vibes - Ali Abdaal, Cambridge medical student</t>
  </si>
  <si>
    <t>The Temple in the Sky (Cambodia) - Cambridge Medical Elective #04</t>
  </si>
  <si>
    <t>Code with Me - My New Website Design</t>
  </si>
  <si>
    <t>Is university worth it? The non-academic value of university</t>
  </si>
  <si>
    <t>My Last Day as a Doctor - Reflections</t>
  </si>
  <si>
    <t>Building a Productivity System in Notion - Live</t>
  </si>
  <si>
    <t> iPhone 11 &amp; 11 Pro - Review</t>
  </si>
  <si>
    <t>Monthly Favourites #6 - Ali Abdaal</t>
  </si>
  <si>
    <t>How to make a website in 5 minutes | Medical Students Making an App - Episode 3</t>
  </si>
  <si>
    <t>AFP Interview Preparation - The personal interview | Academic Foundation Programme</t>
  </si>
  <si>
    <t>Medical Rap ft. Omar Ali - Cambridge University medical student VLOG #33</t>
  </si>
  <si>
    <t>Harry Potter - Medical Science Explained</t>
  </si>
  <si>
    <t>Study with Me + Active Recall tips | Life as a Junior Doctor</t>
  </si>
  <si>
    <t>BASB - Ali's Mentor Session Week 4</t>
  </si>
  <si>
    <t>THE BEST EARPHONES - Apple AirPods Review</t>
  </si>
  <si>
    <t>Monthly Favourites #8 - Ali Abdaal</t>
  </si>
  <si>
    <t>[Private] Lister walkthrough for Leicester trial 2018</t>
  </si>
  <si>
    <t>Valentine’s Day Live Stream</t>
  </si>
  <si>
    <t>My first evening shift - Junior Doctor Vlog #01</t>
  </si>
  <si>
    <t>Monthly Singing - Project 1B - Josh Groban</t>
  </si>
  <si>
    <t>Amazon Kindle vs Kindle Paperwhite</t>
  </si>
  <si>
    <t>Q &amp; A - 5,000 Subscribers!</t>
  </si>
  <si>
    <t>Boosted Board Mini S - First Look</t>
  </si>
  <si>
    <t>How to make the most of Preclinical - 5 Tips</t>
  </si>
  <si>
    <t>Lister - London HealthTech Challenge</t>
  </si>
  <si>
    <t>Critical Appraisal for medical interviews - Preparing for AFP (Academic Foundation Programme)</t>
  </si>
  <si>
    <t>Monthly Favourites #7 - Ali Abdaal</t>
  </si>
  <si>
    <t>Personal &amp; Professional Enhancement with Notion - Deep Dive with August Bradley</t>
  </si>
  <si>
    <t>5 Star Hotel Poolside (Cambodia) - Cambridge Medical Elective #03</t>
  </si>
  <si>
    <t>5 Lessons I've Learned about Racism</t>
  </si>
  <si>
    <t>A day in med school in the Caribbean - St George's University Grenada | Cambridge medic VLOG #37</t>
  </si>
  <si>
    <t>How To Make Time For What Matters - Ali Abdaal x John Zeratsky // Deep Dive</t>
  </si>
  <si>
    <t>Live Stream - Hangout</t>
  </si>
  <si>
    <t>First Live Hangout + Rapid-fire Q&amp;A</t>
  </si>
  <si>
    <t>Coldplay - "Yellow" | Acoustic cover ft. Zobia Haq</t>
  </si>
  <si>
    <t>Advice from a Life Coach - Deep Dive with Khe Hy</t>
  </si>
  <si>
    <t>Real-Time Study With Me - 3.5 Hours With Music</t>
  </si>
  <si>
    <t>AirBnB Tour + Offered Drugs (Cambodia) - Cambridge Medical Elective #07</t>
  </si>
  <si>
    <t>6med UKCAT Crash Course - In a Nutshell</t>
  </si>
  <si>
    <t>iPhone 11 vs iPhone 7/8/X/XR/XS - Real world camera comparison</t>
  </si>
  <si>
    <t>How I use my iPad Pro as a Doctor (2019)</t>
  </si>
  <si>
    <t>How To Make It In America - Deep Dive with Dr Usama Syed (CEO of Liberty Medics)</t>
  </si>
  <si>
    <t>Creativity in the Digital Age - Deep Dive with Austin Kleon</t>
  </si>
  <si>
    <t>Monthly Favourites #3 - Ali Abdaal</t>
  </si>
  <si>
    <t>3 Books that Changed my Life</t>
  </si>
  <si>
    <t>Answering personal questions - 50k subs Q&amp;A</t>
  </si>
  <si>
    <t>Think Like a Monk - @Jay Shetty - Summary + Key Points</t>
  </si>
  <si>
    <t>My Favourite Fantasy Books</t>
  </si>
  <si>
    <t>How to Study for Exams with Google Sheets</t>
  </si>
  <si>
    <t>Top 14 Funniest Moments from Apple WWDC 2019</t>
  </si>
  <si>
    <t>Study With Me - Scoping the Subject ft. Just Eat</t>
  </si>
  <si>
    <t>Monthly Favourites #9 - Ali Abdaal</t>
  </si>
  <si>
    <t>GP Placement Tips</t>
  </si>
  <si>
    <t>Productivity, Books and Careers Advice - Ali Abdaal x Noah Kagan // Deep Dive</t>
  </si>
  <si>
    <t>How to send pre course emails</t>
  </si>
  <si>
    <t>My Geriatric Medicine Placement - Junior Doctor Vlog #02</t>
  </si>
  <si>
    <t>How I use Notion as a Resonance Calendar</t>
  </si>
  <si>
    <t>Growing A Successful Business While Working Less - Deep Dive with James Schramko</t>
  </si>
  <si>
    <t>Doctors sing How to Save a Life - Acoustic cover</t>
  </si>
  <si>
    <t>UCAT - Editors Guide Part 2</t>
  </si>
  <si>
    <t>iPhone XS Max Review - Is it worth it?</t>
  </si>
  <si>
    <t>The Bat Caves of Battambang (Cambodia) - Cambridge Medical Elective #08</t>
  </si>
  <si>
    <t>Maximising Your Foundation Programme Application - GMVS June 2020</t>
  </si>
  <si>
    <t>Friendship and Relationships - Not Overthinking with Valentin Perez, Cliff Weitzman, Taimur Abdaal</t>
  </si>
  <si>
    <t>The best day! Motorbiking up the coast of Vietnam - Cambridge Medical Elective #12</t>
  </si>
  <si>
    <t>Not Overthinking - Live Podcast // Ali + Taimur Abdaal</t>
  </si>
  <si>
    <t>Project 1C James Bay</t>
  </si>
  <si>
    <t>Deep Dive with Shelby Church</t>
  </si>
  <si>
    <t>Finding out my Foundation Year Jobs - Quick update</t>
  </si>
  <si>
    <t>Last Minute Study Tips, Flashcards, Essays &amp; Maths - Exam Revision Q&amp;A with Cambridge students</t>
  </si>
  <si>
    <t>All of Me (John Legend) - Duranka and Ali's live recording</t>
  </si>
  <si>
    <t>Project 1B John Mayer</t>
  </si>
  <si>
    <t>Finding The Third Door - Deep Dive with Alex Banayan</t>
  </si>
  <si>
    <t>My new podcast - Microphone setup + reflections</t>
  </si>
  <si>
    <t>Monthly Singing - Project 1B - Michael Buble</t>
  </si>
  <si>
    <t>iPad Mini Review - The Perfect Consumption Device</t>
  </si>
  <si>
    <t>Sudan Rough Cut - 28 March 2019</t>
  </si>
  <si>
    <t>Ho Chi Minh City (Vietnam) - Cambridge Medical Elective #10</t>
  </si>
  <si>
    <t>Study with Me (Live) - Preparing for USMLE Step 1</t>
  </si>
  <si>
    <t>Littman Cardiology IV - Stethoscope Review</t>
  </si>
  <si>
    <t>Christmas in the Cotswolds - Cambridge University medical student VLOG #23</t>
  </si>
  <si>
    <t>We Just Can’t Wait to Begin - The Prion King | Addenbrooke’s Hospital Pantomime 2018</t>
  </si>
  <si>
    <t>Coffee &amp; Sushi (Cambodia) - Cambridge Medical Elective #05</t>
  </si>
  <si>
    <t>Night shift in the Emergency Department - Life as a Junior Doctor</t>
  </si>
  <si>
    <t>Top 5 Highlights from Apple's WWDC 2019 Keynote</t>
  </si>
  <si>
    <t>The World's Smartest Notebook - Rocketbook Everlast Review</t>
  </si>
  <si>
    <t>Study with Me - Resuscitation Training | Life as a Junior Doctor</t>
  </si>
  <si>
    <t>Motivation, Stress &amp; Time Management - Exam Revision Q&amp;A with Cambridge students</t>
  </si>
  <si>
    <t>Study Tips for First Year Medical Students</t>
  </si>
  <si>
    <t>Legalising Assisted Suicide? - Medical Ethics and Law</t>
  </si>
  <si>
    <t>A day on GP placement - Cambridge University medical student VLOG #27</t>
  </si>
  <si>
    <t>Deep Dive with Derek Sivers - Life Advice, Writing and Entrepreneurship</t>
  </si>
  <si>
    <t>Graduate Entry Medicine - A comprehensive guide + Q&amp;A</t>
  </si>
  <si>
    <t>Project 1B Ed Sheeran</t>
  </si>
  <si>
    <t>Live Stream - Study with Me</t>
  </si>
  <si>
    <t>Exam Study Tips for University &amp; A-Level students - Revision Q&amp;A with Cambridge students</t>
  </si>
  <si>
    <t>Ali Abdaal Live Stream</t>
  </si>
  <si>
    <t>Tailored suits in Hoi An (Vietnam) - Cambridge Medical Elective #11</t>
  </si>
  <si>
    <t>Students' Wilderness Medicine UK Conference - Cambridge University medical student VLOG #14</t>
  </si>
  <si>
    <t>Cerebrum - YC S16</t>
  </si>
  <si>
    <t>The best iPad Screen Protector - PaperLike Review</t>
  </si>
  <si>
    <t>Ask Doctor Ali - 100k subscribers Q&amp;A</t>
  </si>
  <si>
    <t>iPad vs Macbook for Students - Can a tablet replace your laptop?</t>
  </si>
  <si>
    <t>A&amp;E Night Shift - Cambridge University medical student VLOG #16</t>
  </si>
  <si>
    <t>Clinical Emergency Scenarios - AFP Interview preparation | Academic Foundation Programme</t>
  </si>
  <si>
    <t>I'm Moving to America 🇺🇸 - Life Update</t>
  </si>
  <si>
    <t>Medicine Interview Tips - Dealing with Nerves</t>
  </si>
  <si>
    <t>Monthly Favourites #10 - Ali Abdaal</t>
  </si>
  <si>
    <t>Project 1B Zac Brown Band</t>
  </si>
  <si>
    <t>BASB - Ali's Mentor Session Week 5</t>
  </si>
  <si>
    <t>My 2018 university Desk Setup - Cambridge medical student</t>
  </si>
  <si>
    <t>My University Room Tour 2018 - Cambridge medical student accommodation</t>
  </si>
  <si>
    <t>Happy Birthday Hashima!</t>
  </si>
  <si>
    <t>2017 06 19 BMAT 01 Test Daytime</t>
  </si>
  <si>
    <t>Proximie Prototype #2</t>
  </si>
  <si>
    <t>Ali Abdaal - Clinical Entrepreneur 2017 Application</t>
  </si>
  <si>
    <t>Thinking Out Loud (Ed Sheeran) - Ali Abdaal &amp; Suhail Idrees</t>
  </si>
  <si>
    <t>[Private] - Editor Tutorial - iPad Annotated Drawings</t>
  </si>
  <si>
    <t>[Private Panto] Stephen's Song</t>
  </si>
  <si>
    <t>Categorization Scheme</t>
  </si>
  <si>
    <t>Personal - Life Updates/Lessons/Vlogs</t>
  </si>
  <si>
    <t>How to/How I - Productivity/Technical</t>
  </si>
  <si>
    <t>Memory/Studying - Student Oriented</t>
  </si>
  <si>
    <t>Deep Dives</t>
  </si>
  <si>
    <t>Book Reviews</t>
  </si>
  <si>
    <t xml:space="preserve">Tech/Apps - Non-how to </t>
  </si>
  <si>
    <t>Deep Dives/Live Streams</t>
  </si>
  <si>
    <t>(blank)</t>
  </si>
  <si>
    <t>% India</t>
  </si>
  <si>
    <t>% US</t>
  </si>
  <si>
    <t>% UK</t>
  </si>
  <si>
    <t>% View India</t>
  </si>
  <si>
    <t>% Views US</t>
  </si>
  <si>
    <t>% Views UK</t>
  </si>
  <si>
    <t>How To</t>
  </si>
  <si>
    <t>Personal</t>
  </si>
  <si>
    <t>Memory/Studying</t>
  </si>
  <si>
    <t>Tech/Apps</t>
  </si>
  <si>
    <t>TN K</t>
  </si>
  <si>
    <t>TN L</t>
  </si>
  <si>
    <t>Thumbnail Categories</t>
  </si>
  <si>
    <t>AWT</t>
  </si>
  <si>
    <t>Thumbnail Averages</t>
  </si>
  <si>
    <t>Ali in Thumbnail?</t>
  </si>
  <si>
    <t>Smiling?</t>
  </si>
  <si>
    <t>Action Shot?</t>
  </si>
  <si>
    <t>Item in Hand?</t>
  </si>
  <si>
    <t>Looking at Camera?</t>
  </si>
  <si>
    <t>Text on Thumbnail?</t>
  </si>
  <si>
    <t>Multiple People?</t>
  </si>
  <si>
    <t>Visible Technology?</t>
  </si>
  <si>
    <t>Book?</t>
  </si>
  <si>
    <t>Other Facial Expression?</t>
  </si>
  <si>
    <t>Background Image/Graph?</t>
  </si>
  <si>
    <t>Flat Camera Angle?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</si>
</sst>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ED6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6059"/>
        <bgColor indexed="64"/>
      </patternFill>
    </fill>
  </fills>
  <borders count="2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horizontal="right" wrapText="1"/>
    </xf>
    <xf numFmtId="164" fontId="1" fillId="0" borderId="3" xfId="0" applyNumberFormat="1" applyFont="1" applyBorder="1" applyAlignment="1">
      <alignment wrapText="1"/>
    </xf>
    <xf numFmtId="164" fontId="1" fillId="0" borderId="1" xfId="0" applyNumberFormat="1" applyFont="1" applyBorder="1" applyAlignment="1">
      <alignment wrapText="1"/>
    </xf>
    <xf numFmtId="164" fontId="1" fillId="0" borderId="5" xfId="0" applyNumberFormat="1" applyFont="1" applyBorder="1" applyAlignment="1">
      <alignment wrapText="1"/>
    </xf>
    <xf numFmtId="164" fontId="0" fillId="0" borderId="0" xfId="0" applyNumberFormat="1"/>
    <xf numFmtId="3" fontId="1" fillId="0" borderId="3" xfId="0" applyNumberFormat="1" applyFont="1" applyBorder="1" applyAlignment="1">
      <alignment wrapText="1"/>
    </xf>
    <xf numFmtId="3" fontId="1" fillId="0" borderId="1" xfId="0" applyNumberFormat="1" applyFont="1" applyBorder="1" applyAlignment="1">
      <alignment horizontal="right" wrapText="1"/>
    </xf>
    <xf numFmtId="3" fontId="1" fillId="0" borderId="5" xfId="0" applyNumberFormat="1" applyFont="1" applyBorder="1" applyAlignment="1">
      <alignment horizontal="right" wrapText="1"/>
    </xf>
    <xf numFmtId="3" fontId="0" fillId="0" borderId="0" xfId="0" applyNumberFormat="1"/>
    <xf numFmtId="2" fontId="1" fillId="0" borderId="3" xfId="0" applyNumberFormat="1" applyFont="1" applyBorder="1" applyAlignment="1">
      <alignment wrapText="1"/>
    </xf>
    <xf numFmtId="2" fontId="1" fillId="0" borderId="1" xfId="0" applyNumberFormat="1" applyFont="1" applyBorder="1" applyAlignment="1">
      <alignment horizontal="right" wrapText="1"/>
    </xf>
    <xf numFmtId="2" fontId="1" fillId="0" borderId="1" xfId="0" applyNumberFormat="1" applyFont="1" applyBorder="1" applyAlignment="1">
      <alignment wrapText="1"/>
    </xf>
    <xf numFmtId="2" fontId="1" fillId="0" borderId="5" xfId="0" applyNumberFormat="1" applyFont="1" applyBorder="1" applyAlignment="1">
      <alignment wrapText="1"/>
    </xf>
    <xf numFmtId="2" fontId="0" fillId="0" borderId="0" xfId="0" applyNumberFormat="1"/>
    <xf numFmtId="3" fontId="1" fillId="0" borderId="1" xfId="0" applyNumberFormat="1" applyFont="1" applyBorder="1" applyAlignment="1">
      <alignment wrapText="1"/>
    </xf>
    <xf numFmtId="3" fontId="1" fillId="0" borderId="5" xfId="0" applyNumberFormat="1" applyFont="1" applyBorder="1" applyAlignment="1">
      <alignment wrapText="1"/>
    </xf>
    <xf numFmtId="2" fontId="1" fillId="0" borderId="5" xfId="0" applyNumberFormat="1" applyFont="1" applyBorder="1" applyAlignment="1">
      <alignment horizontal="right" wrapText="1"/>
    </xf>
    <xf numFmtId="0" fontId="1" fillId="0" borderId="4" xfId="0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2" fillId="0" borderId="11" xfId="0" applyFont="1" applyBorder="1" applyAlignment="1">
      <alignment horizontal="center"/>
    </xf>
    <xf numFmtId="2" fontId="0" fillId="0" borderId="13" xfId="0" applyNumberFormat="1" applyBorder="1"/>
    <xf numFmtId="2" fontId="0" fillId="0" borderId="14" xfId="0" applyNumberFormat="1" applyBorder="1"/>
    <xf numFmtId="0" fontId="0" fillId="0" borderId="8" xfId="0" applyBorder="1" applyAlignment="1">
      <alignment horizontal="left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0" borderId="7" xfId="0" applyFont="1" applyFill="1" applyBorder="1" applyAlignment="1">
      <alignment horizontal="center"/>
    </xf>
    <xf numFmtId="2" fontId="0" fillId="4" borderId="13" xfId="0" applyNumberFormat="1" applyFill="1" applyBorder="1"/>
    <xf numFmtId="2" fontId="0" fillId="4" borderId="14" xfId="0" applyNumberFormat="1" applyFill="1" applyBorder="1"/>
    <xf numFmtId="2" fontId="4" fillId="5" borderId="13" xfId="0" applyNumberFormat="1" applyFont="1" applyFill="1" applyBorder="1"/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0" xfId="0" applyBorder="1"/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8" xfId="0" applyFont="1" applyBorder="1" applyAlignment="1">
      <alignment horizontal="center" vertical="center"/>
    </xf>
    <xf numFmtId="1" fontId="0" fillId="0" borderId="13" xfId="0" applyNumberFormat="1" applyBorder="1"/>
    <xf numFmtId="1" fontId="0" fillId="0" borderId="14" xfId="0" applyNumberFormat="1" applyBorder="1"/>
    <xf numFmtId="0" fontId="0" fillId="0" borderId="8" xfId="0" applyFill="1" applyBorder="1"/>
    <xf numFmtId="2" fontId="0" fillId="0" borderId="18" xfId="0" applyNumberFormat="1" applyBorder="1"/>
    <xf numFmtId="0" fontId="0" fillId="0" borderId="9" xfId="0" applyFill="1" applyBorder="1"/>
    <xf numFmtId="0" fontId="2" fillId="0" borderId="19" xfId="0" applyFont="1" applyBorder="1" applyAlignment="1">
      <alignment horizontal="center"/>
    </xf>
    <xf numFmtId="2" fontId="0" fillId="0" borderId="16" xfId="0" applyNumberFormat="1" applyBorder="1"/>
    <xf numFmtId="2" fontId="0" fillId="0" borderId="17" xfId="0" applyNumberFormat="1" applyBorder="1"/>
    <xf numFmtId="1" fontId="0" fillId="0" borderId="18" xfId="0" applyNumberFormat="1" applyBorder="1"/>
    <xf numFmtId="1" fontId="0" fillId="0" borderId="0" xfId="0" applyNumberFormat="1" applyBorder="1"/>
    <xf numFmtId="2" fontId="0" fillId="0" borderId="0" xfId="0" applyNumberFormat="1" applyBorder="1"/>
    <xf numFmtId="1" fontId="0" fillId="0" borderId="15" xfId="0" applyNumberFormat="1" applyBorder="1"/>
    <xf numFmtId="2" fontId="0" fillId="0" borderId="15" xfId="0" applyNumberFormat="1" applyBorder="1"/>
    <xf numFmtId="1" fontId="0" fillId="0" borderId="10" xfId="0" applyNumberFormat="1" applyBorder="1"/>
    <xf numFmtId="2" fontId="0" fillId="0" borderId="10" xfId="0" applyNumberFormat="1" applyBorder="1"/>
    <xf numFmtId="0" fontId="2" fillId="0" borderId="15" xfId="0" applyFont="1" applyBorder="1" applyAlignment="1">
      <alignment horizontal="center" vertical="center"/>
    </xf>
    <xf numFmtId="3" fontId="0" fillId="0" borderId="18" xfId="0" applyNumberFormat="1" applyBorder="1"/>
    <xf numFmtId="3" fontId="0" fillId="0" borderId="13" xfId="0" applyNumberFormat="1" applyBorder="1"/>
    <xf numFmtId="3" fontId="0" fillId="0" borderId="14" xfId="0" applyNumberFormat="1" applyBorder="1"/>
    <xf numFmtId="21" fontId="1" fillId="0" borderId="2" xfId="0" applyNumberFormat="1" applyFont="1" applyBorder="1" applyAlignment="1">
      <alignment horizontal="right" wrapText="1"/>
    </xf>
    <xf numFmtId="21" fontId="1" fillId="0" borderId="4" xfId="0" applyNumberFormat="1" applyFont="1" applyBorder="1" applyAlignment="1">
      <alignment horizontal="right" wrapText="1"/>
    </xf>
    <xf numFmtId="46" fontId="1" fillId="0" borderId="3" xfId="0" applyNumberFormat="1" applyFont="1" applyBorder="1" applyAlignment="1">
      <alignment wrapText="1"/>
    </xf>
    <xf numFmtId="46" fontId="1" fillId="0" borderId="2" xfId="0" applyNumberFormat="1" applyFont="1" applyBorder="1" applyAlignment="1">
      <alignment horizontal="right" wrapText="1"/>
    </xf>
    <xf numFmtId="46" fontId="1" fillId="0" borderId="6" xfId="0" applyNumberFormat="1" applyFont="1" applyBorder="1" applyAlignment="1">
      <alignment horizontal="right" wrapText="1"/>
    </xf>
    <xf numFmtId="46" fontId="0" fillId="0" borderId="0" xfId="0" applyNumberFormat="1"/>
    <xf numFmtId="1" fontId="1" fillId="0" borderId="3" xfId="0" applyNumberFormat="1" applyFont="1" applyBorder="1" applyAlignment="1">
      <alignment wrapText="1"/>
    </xf>
    <xf numFmtId="1" fontId="1" fillId="0" borderId="2" xfId="0" applyNumberFormat="1" applyFont="1" applyBorder="1" applyAlignment="1">
      <alignment horizontal="right" wrapText="1"/>
    </xf>
    <xf numFmtId="1" fontId="0" fillId="0" borderId="0" xfId="0" applyNumberFormat="1"/>
    <xf numFmtId="1" fontId="0" fillId="6" borderId="9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3" fontId="0" fillId="7" borderId="8" xfId="0" applyNumberFormat="1" applyFill="1" applyBorder="1" applyAlignment="1">
      <alignment horizontal="center"/>
    </xf>
    <xf numFmtId="3" fontId="0" fillId="7" borderId="13" xfId="0" applyNumberFormat="1" applyFill="1" applyBorder="1" applyAlignment="1">
      <alignment horizontal="center"/>
    </xf>
    <xf numFmtId="3" fontId="0" fillId="5" borderId="9" xfId="0" applyNumberForma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3" fontId="0" fillId="0" borderId="13" xfId="0" applyNumberFormat="1" applyFill="1" applyBorder="1" applyAlignment="1">
      <alignment horizontal="center"/>
    </xf>
    <xf numFmtId="3" fontId="0" fillId="5" borderId="14" xfId="0" applyNumberForma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</cellXfs>
  <cellStyles count="1">
    <cellStyle name="Normal" xfId="0" builtinId="0"/>
  </cellStyles>
  <dxfs count="40">
    <dxf>
      <numFmt numFmtId="2" formatCode="0.0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6" formatCode="h:mm:ss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mm/dd/yy;@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F16059"/>
      <color rgb="FF2ED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an Agrawal" refreshedDate="44153.116110532406" createdVersion="6" refreshedVersion="6" minRefreshableVersion="3" recordCount="404" xr:uid="{7ADB0BC1-3851-4B53-9450-BDA5ACAAFB07}">
  <cacheSource type="worksheet">
    <worksheetSource name="RawData"/>
  </cacheSource>
  <cacheFields count="34">
    <cacheField name="Video title" numFmtId="0">
      <sharedItems count="399">
        <s v="Growing A Successful Business While Working Less - Deep Dive with James Schramko"/>
        <s v="Creativity in the Digital Age - Deep Dive with Austin Kleon"/>
        <s v="Think Like a Monk - @Jay Shetty - Summary + Key Points"/>
        <s v="The 5 Key Principles of Productivity"/>
        <s v="Finding The Third Door - Deep Dive with Alex Banayan"/>
        <s v="How I Bought a Brand New Tesla Half Price"/>
        <s v="Revamping My Living Room - Day In The Life"/>
        <s v="How to Get Started with Investing"/>
        <s v="Reading, Writing and Learning - Deep Dive with David Perell"/>
        <s v="How I Remember Everything I Read"/>
        <s v="Writing, Measuring Success and Stoicism - Deep Dive with Ryan Holiday"/>
        <s v="My Failures and Rejections: The Lessons I Learned"/>
        <s v="What's on my iPhone - Favourite iPhone Apps ft. @Kharma Medic"/>
        <s v="How to see opportunities in EVERYTHING // The Obstacle is the Way"/>
        <s v="Collecting My Tesla Model 3 - Day In The Life"/>
        <s v="How Stoicism Made Me Happier"/>
        <s v="Building a Life-Changing Blog, Knowledge Management &amp; 4-Hour Work Weeks - Deep Dive with Nat Eliason"/>
        <s v="The Book That Changed My Relationship With Money"/>
        <s v="Code with Me - My New Website Design"/>
        <s v="Building Businesses, Websites &amp; Travelling the World - Deep Dive with John O'Nolan (CEO of Ghost)"/>
        <s v="The 5 Magical Apps That Changed My Life"/>
        <s v="Personal &amp; Professional Enhancement with Notion - Deep Dive with August Bradley"/>
        <s v="Advice from a Life Coach - Deep Dive with Khe Hy"/>
        <s v="This is How Much YouTube Pays Me"/>
        <s v="Study with Me (Live) - Preparing for USMLE Step 1"/>
        <s v="Personality Isn't Permanent - Deep Dive with Benjamin Hardy"/>
        <s v="How To Make It In America - Deep Dive with Dr Usama Syed (CEO of Liberty Medics)"/>
        <s v="ONE MILLION Subscribers Q&amp;A"/>
        <s v="What REALLY motivates us?"/>
        <s v="The Perfect Note-Taking App"/>
        <s v="The Second Brain - A Life-Changing Productivity System"/>
        <s v="Building A Second Brain - Deep Dive with Tiago Forte"/>
        <s v="How I Type REALLY Fast (156 Words per Minute)"/>
        <s v="Ali Abdaal Live Stream"/>
        <s v="Deep Dive with Shelby Church"/>
        <s v="Study with Me - Hustle &amp; Chill"/>
        <s v="The Happiness Advantage (Shawn Achor) - Book Summary"/>
        <s v="My Last Day as a Doctor - Reflections"/>
        <s v="How to Make Money from your Passion"/>
        <s v="How I Watch TV Productively"/>
        <s v="How to Stop Procrastinating"/>
        <s v="Why Video Games Are Good for You"/>
        <s v="My INSANELY Productive Morning Routine"/>
        <s v="How I Organise My Life with Roam"/>
        <s v="Day in the Life as a Doctor (Gynaecology)"/>
        <s v="The Secret to Success - 'Grit' by Angela Duckworth // Book Summary"/>
        <s v="What We Learnt In 2 Years of Being Doctors - Deep Dive with Molly Hunt"/>
        <s v="Living a Productive and Meaningful Life - Deep Dive with Khe Hy"/>
        <s v="One Simple Habit that Changed My Life"/>
        <s v="Mind, Memory and Diet - Deep dive with Nelson Dellis"/>
        <s v="Fan Fiction, Hand Massages and Travelling the World - Deep Dive with UnJaded Jade"/>
        <s v="Productivity with Dr Ali"/>
        <s v="My Creative Workflow with Notion"/>
        <s v="How To Maximise Opportunity and Success"/>
        <s v="Books, Studying and Productivity - Deep dive with Ruby Granger"/>
        <s v="I'm Moving to America 🇺🇸 - Life Update"/>
        <s v="Why Motivation is a Myth"/>
        <s v="The Productivity Equation"/>
        <s v="My Favourite Productivity Book"/>
        <s v="Mail Time with Dr. Ali - Day in the Life"/>
        <s v="How To Boost Productivity Without Apps"/>
        <s v="Tech, Creativity and Vlogs- Deep dive with Sara Dietschy"/>
        <s v="Social Skills, Nomadic Life and Relationships - Deep Dive with Tynan"/>
        <s v="Is Reading Fiction a Waste of Time?"/>
        <s v="Crushes, Challenges and Irritating Habits - Q&amp;A With My Roommate Molly"/>
        <s v="Music, Reading and Note-Taking - Productive Day in the Life"/>
        <s v="My Favorite Mechanical Keyboard - IQUnix F96 Coral"/>
        <s v="Productivity, Life, and Principles - Deep dive with Cliff Weitzman"/>
        <s v="5 Lessons I've Learned about Racism"/>
        <s v="All the Apps I Use in a Day"/>
        <s v="Mindset, Success and Resilience - Deep dive with Bobby Seagull"/>
        <s v="Learn Anything With Flashcards - The Ultimate Guide To Anki"/>
        <s v="Deep Dive with Derek Sivers - Life Advice, Writing and Entrepreneurship"/>
        <s v="Studying, Cooking and Netflix | Day in the Life During Lockdown"/>
        <s v="How To Make Money Online - The 3 Levels"/>
        <s v="How to Organise Everything in Notion - Deep Dive with Valentin Perez"/>
        <s v="My Productive Birthday in Lockdown - Day in the Life Vlog"/>
        <s v="Apple Fanboy Reacts to Microsoft Surface Go 2"/>
        <s v="I Tried Making a Viral Video - Day in the Life VLOG"/>
        <s v="How To Make Time For What Matters - Ali Abdaal x John Zeratsky // Deep Dive"/>
        <s v="Tiny Changes, Remarkable Results - Atomic Habits by James Clear"/>
        <s v="My Favourite Mac Apps in 2020 | What's on my MacBook Pro?"/>
        <s v="How Much Money I Earn in a Week as a Doctor &amp; YouTuber"/>
        <s v="Productivity, Books and Careers Advice - Ali Abdaal x Noah Kagan // Deep Dive"/>
        <s v="Real-Time Study With Me - 3.5 Hours With Music"/>
        <s v="What Makes People Successful?"/>
        <s v="This is Incredible - iPad Pro Magic Keyboard Impressions"/>
        <s v="A Simple Choice - iPad Pro vs MacBook Air (2020)"/>
        <s v="Productive Day in the Life in Lockdown // Behind the Scenes of my iPad Pro Videos"/>
        <s v="Answering your Questions"/>
        <s v="Study With Me in the French Alps - USMLE Preparation"/>
        <s v="Building a Productivity System in Notion - Live"/>
        <s v="My New Favourite Laptop - MacBook Air 2020 Review"/>
        <s v="I WAS WRONG - iPad Pro 11 vs. 12.9 inch"/>
        <s v="A Productive Day in Isolation"/>
        <s v="How to Study for Exams - My NEW Masterclass // Behind the Scenes"/>
        <s v="Improve your Reading + My New Favourite Pen"/>
        <s v="iPad Pro 2020 Review - Overkill"/>
        <s v="Unboxing the New 2020 iPad Pro | 11 &amp; 12.9 Inch Versions"/>
        <s v="How to be More Productive in Lockdown"/>
        <s v="10 Tips for COVID-19 (Coronavirus) - Advice from a Respiratory Physician"/>
        <s v="Live Stream - Productive Isolation"/>
        <s v="Interviewing a Writer // Day in the Life VLOG"/>
        <s v="Is Coffee Good For You?"/>
        <s v="10 Study Tips - Q&amp;A"/>
        <s v="CORONAVIRUS vs. The Flu - A Comparison"/>
        <s v="CORONAVIRUS (COVID-19) - The Basics"/>
        <s v="Study With Me - Weekend on-call"/>
        <s v="Medical School Meme Review"/>
        <s v="My Favourite Note-Taking App for Students - Notion (2020)"/>
        <s v="(Un)productive Day in the Life as a Doctor"/>
        <s v="Study Tips with Dr Simon Clark"/>
        <s v="How Much Money I Spend in a Week as a 25 Year Old Doctor"/>
        <s v="48h Study With Me + Highlighting Tips"/>
        <s v="A Productive Day in the Life vlog"/>
        <s v="My Favourite iPad Pro Apps (2020)"/>
        <s v="15 Lessons that Improved My Life"/>
        <s v="Study With Me - British Airways Business Class"/>
        <s v="My 2019 Annual Review using Notion"/>
        <s v="Why I'm Giving 10% of my Income to Charity"/>
        <s v="Reading Mean Comments"/>
        <s v="Study With Me - A Super Productive Day"/>
        <s v="What's on my iPhone 11 Pro Max (2020)"/>
        <s v="Day in the Life as a Doctor"/>
        <s v="How my friend ranked 1st at Medical School - The Active Recall Framework"/>
        <s v="Study with Me + How I Learn New Content"/>
        <s v="Arrogance, Expectations &amp; Inspiration - Personal Q&amp;A with my Brother | Ali &amp; Taimur Abdaal"/>
        <s v=" iPhone 11 &amp; 11 Pro - Review"/>
        <s v="AirPods Pro Unboxing!"/>
        <s v="How I Read 100 Books a Year - 8 Tips for Reading More"/>
        <s v="Study with Me + How I take Notes"/>
        <s v="How I use Notion as a Resonance Calendar"/>
        <s v="iPad vs Macbook for Students - Can an iPad replace your Laptop?"/>
        <s v="How I Built a Million Dollar Business in Medical School - 10 Tips for Entrepreneurs"/>
        <s v="iPhone 11 vs iPhone 7/8/X/XR/XS - Real world camera comparison"/>
        <s v="Ready Player One + 'My First Million' - Monthly Favourites #12"/>
        <s v="My Favourite Productivity App for Students - Notion"/>
        <s v="My Productivity Desk Setup"/>
        <s v="Life Advice Q&amp;A with my Brother"/>
        <s v="Building the perfect desk setup - 49&quot; Ultrawide Monitor + Standing Desk"/>
        <s v="How to Film YouTube Videos on Your Phone"/>
        <s v="The Best iPad Screen Protector - Paperlike V2"/>
        <s v="Money, Relationships and Hair Loss - Answering your Assumptions"/>
        <s v="Smart Passive Income + The Third Door - Monthly Favourites #11"/>
        <s v="General Surgery - A Day in the Life - Junior Doctor Vlog"/>
        <s v="How I Manage my Time as a Doctor + YouTuber - 9 Time Management Tips"/>
        <s v="The World's Smartest Notebook - Rocketbook Everlast Review"/>
        <s v="iPad vs Kindle for Reading Books"/>
        <s v="AWAY Weekender Bag Review"/>
        <s v="Monthly Favourites #10 - Ali Abdaal"/>
        <s v="How I Make My YouTube Videos"/>
        <s v="How I use my iPad Pro as a Doctor"/>
        <s v="My Favourite Fantasy Books"/>
        <s v="How to Study for Exams - The STic Framework for Effective Learning"/>
        <s v="Harry Potter - Medical Science Explained"/>
        <s v="Top 14 Funniest Moments from Apple WWDC 2019"/>
        <s v="Top 5 Highlights from Apple's WWDC 2019 Keynote"/>
        <s v="My 7 Favourite iPad OS Features - Apple WWDC 2019"/>
        <s v="iPad Mini Review - The Perfect Consumption Device"/>
        <s v="Monthly Favourites #9 - Ali Abdaal"/>
        <s v="How to Spin a Pen - Thumb Around Pen Spinning Tutorial (2019)"/>
        <s v="My Geriatric Medicine Placement - Junior Doctor Vlog #02"/>
        <s v="Study with Me + Anki Flashcard Method - Ali Abdaal"/>
        <s v="The Best Productivity Apps for Students"/>
        <s v="Amazon Kindle vs Kindle Paperwhite"/>
        <s v="Monthly Favourites #8 - Ali Abdaal"/>
        <s v="Which iPad should you buy - Analysis of iPad Pro vs iPad Air vs iPad Mini vs iPad"/>
        <s v="Medical Mission in Sudan - Life as a Junior Doctor"/>
        <s v="How I ranked 1st at Cambridge University - The Essay Memorisation Framework"/>
        <s v="What's in my Camera Bag - My YouTube + photography travel gear"/>
        <s v="Monthly Favourites #7 - Ali Abdaal"/>
        <s v="Recommended Tech for Students"/>
        <s v="Littman Cardiology IV - Stethoscope Review"/>
        <s v="How I use my iPad Pro as a Doctor (2019)"/>
        <s v="Apple Watch Series 4 Review"/>
        <s v="How to study for exams - The Retrospective Revision Timetable"/>
        <s v="iPad Pro Smart Keyboard Folio Review - My favourite typing experience of all time"/>
        <s v="Valentine’s Day Live Stream"/>
        <s v="3 Books that Changed my Life"/>
        <s v="THE BEST EARPHONES - Apple AirPods Review"/>
        <s v="How to Study for Exams with Google Sheets"/>
        <s v="My Favourite iPad Pro Apps"/>
        <s v="Doctors sing How to Save a Life - Acoustic cover"/>
        <s v="Study Tips - How to learn new content"/>
        <s v="Desk Setup Upgrade - 35&quot; UltraWide Monitor | Life as a Junior Doctor"/>
        <s v="Ask Doctor Ali - 100k subscribers Q&amp;A"/>
        <s v="What's in my Bag - Junior Doctor Everyday Carry"/>
        <s v="Study with Me + Active Recall tips | Life as a Junior Doctor"/>
        <s v="Study with Me - Resuscitation Training | Life as a Junior Doctor"/>
        <s v="iPad Pro 2018 Review - Should you buy it?"/>
        <s v="Night shift in the Emergency Department - Life as a Junior Doctor"/>
        <s v="AFP Interview Preparation - The personal interview | Academic Foundation Programme"/>
        <s v="My Favourite iPhone XS Apps"/>
        <s v="Study With Me - Scoping the Subject ft. Just Eat"/>
        <s v="iPhone XS Max Review - Is it worth it?"/>
        <s v="My Study Method + Revision Tools - Cambridge junior doctor"/>
        <s v="The best iPad Screen Protector - PaperLike Review"/>
        <s v="How to be a good junior doctor (ft. That Medic)"/>
        <s v="iPad vs Macbook for Students - Can a tablet replace your laptop?"/>
        <s v="Boosted Board Mini S - First Look"/>
        <s v="Critical Appraisal for medical interviews - Preparing for AFP (Academic Foundation Programme)"/>
        <s v="BMAT Physics - Electricity + Formulae | BMAT Crash Course Online"/>
        <s v="Is university worth it? The non-academic value of university"/>
        <s v="Graduate Entry Medicine - A comprehensive guide + Q&amp;A"/>
        <s v="Study Tips for First Year Medical Students"/>
        <s v="My new podcast - Microphone setup + reflections"/>
        <s v="The confidence to speak up in class - A podcast experiment"/>
        <s v="Monthly Favourites #6 - Ali Abdaal"/>
        <s v="My Favourite Mac Apps - What's on my Macbook Pro"/>
        <s v="Clinical Emergency Scenarios - AFP Interview preparation | Academic Foundation Programme"/>
        <s v="Answering personal questions - 50k subs Q&amp;A"/>
        <s v="Studying Medicine in Eastern Europe - A comprehensive guide"/>
        <s v="My first evening shift - Junior Doctor Vlog #01"/>
        <s v="University Freshers - 5 Top Tips (2018)"/>
        <s v="Academic Foundation Programme (AFP) - Why should you apply?"/>
        <s v="Reapplying to Medicine (UK) - A comprehensive guide"/>
        <s v="James Arthur - &quot;Say You Won't Let Go&quot; | Acoustic cover ft. Matticus Vlogs"/>
        <s v="Life Advice - 50k subs Q&amp;A"/>
        <s v="A year on YouTube - Channel / life update"/>
        <s v="Wilderness Medicine in Dorset - Cambridge University medical student VLOG #40"/>
        <s v="Final year exam results - Cambridge University medical student VLOG #39"/>
        <s v="My University Room Tour 2018 - Cambridge medical student accommodation"/>
        <s v="My first camera stabiliser - Zhiyun Crane v2 gimbal review"/>
        <s v="Monthly Favourites #5 - Ali Abdaal"/>
        <s v="Live Stream - Tuesday Evening Hangout"/>
        <s v="Study with me + The Magic of Categorisation - Cambridge University medical student VLOG #38"/>
        <s v="iPad Pro vs iPad (2018) comparison for college / university students"/>
        <s v="A day in med school in the Caribbean - St George's University Grenada | Cambridge medic VLOG #37"/>
        <s v="How I take notes on my iPad Pro in medical school - Cambridge University medical student"/>
        <s v="Coldplay - &quot;Yellow&quot; | Acoustic cover ft. Zobia Haq"/>
        <s v="Live Stream - Hangout"/>
        <s v="Study with Me + How I take notes - Cambridge University medical student VLOG #36"/>
        <s v="Behind the scenes of Cambridge University Medical School - Med student VLOG #35"/>
        <s v="Study with me + More revision tips - Cambridge University medical student VLOG #34"/>
        <s v="Monthly Favourites #4 - Ali Abdaal"/>
        <s v="Live Q&amp;A + Hangout - Bank Holiday vibes - Ali Abdaal, Cambridge medical student"/>
        <s v="Medical Rap ft. Omar Ali - Cambridge University medical student VLOG #33"/>
        <s v="Exam Study Tips for University &amp; A-Level students - Revision Q&amp;A with Cambridge students"/>
        <s v="First Live Hangout + Rapid-fire Q&amp;A"/>
        <s v="We Just Can’t Wait to Begin - The Prion King | Addenbrooke’s Hospital Pantomime 2018"/>
        <s v="Study with Me + Revision tips from friends - Cambridge University medical student VLOG #32"/>
        <s v="Study With Me + 10 Productivity / Revision Tips - Cambridge University medical student VLOG #31"/>
        <s v="Monthly Favourites #3 - Ali Abdaal"/>
        <s v="Last Minute Study Tips, Flashcards, Essays &amp; Maths - Exam Revision Q&amp;A with Cambridge students"/>
        <s v="Motivation, Stress &amp; Time Management - Exam Revision Q&amp;A with Cambridge students"/>
        <s v="Study with me + My revision method - Cambridge University medical student VLOG #30"/>
        <s v="How to Study for Exams - Spaced Repetition | Evidence-based revision tips"/>
        <s v="Finding out my Foundation Year Jobs - Quick update"/>
        <s v="How to study for exams - Evidence-based revision tips"/>
        <s v="Pakistan Society Ball - Cambridge University medical student VLOG #28"/>
        <s v="Exam Revision Tips with Ibz Mo"/>
        <s v="Q &amp; A - 5,000 Subscribers!"/>
        <s v="What happens after medical school - UK medical training explained"/>
        <s v="A day on GP placement - Cambridge University medical student VLOG #27"/>
        <s v="Monthly Favourites #2 - Ali Abdaal"/>
        <s v="Lacrosse and A&amp;E - Cambridge University medical student VLOG #26"/>
        <s v="Breaking Bad News / Death &amp; Dying - Cambridge medical student VLOG #25"/>
        <s v="Another Day of Fun (La La Land) - The Prion King | Addenbrooke’s Hospital Pantomime 2018"/>
        <s v="Medicine Application - No offers?"/>
        <s v="Monthly Favourites #1 - Ali Abdaal"/>
        <s v="Life Support Training - Cambridge University medical student VLOG #24"/>
        <s v="Flying a drone around Iceland - Winter VLOG"/>
        <s v="Charlie Gard - Medical Ethics and Law"/>
        <s v="Christmas in the Cotswolds - Cambridge University medical student VLOG #23"/>
        <s v="Legalising Assisted Suicide? - Medical Ethics and Law"/>
        <s v="My 2018 university Desk Setup - Cambridge medical student"/>
        <s v="Euthanasia - Medical Ethics and Law at the end of life"/>
        <s v="Magic, pizza and SJT - Cambridge University medical student VLOG #22"/>
        <s v="Preparing for the SJT - Cambridge University medical student VLOG #21"/>
        <s v="Finishing finals - Cambridge University medical student VLOG #20"/>
        <s v="Procrastinating before finals - Cambridge University medical student VLOG #19"/>
        <s v="Singing carols in the hospital - Cambridge University medical student VLOG #18"/>
        <s v="Consent, Capacity and Jehovah's Witnesses - Medical Ethics &amp; Law for interviews"/>
        <s v="Finals study sesh - Cambridge University medical student VLOG #17"/>
        <s v="How to answer Medical Ethics interview questions"/>
        <s v="A&amp;E Night Shift - Cambridge University medical student VLOG #16"/>
        <s v="Medicine Interview Questions - How to answer &quot;What's your biggest weakness?&quot;"/>
        <s v="Ambulance Day - Cambridge University medical student VLOG #15"/>
        <s v="Medicine Interview Questions - How to answer &quot;Why should we choose you?&quot;"/>
        <s v="Students' Wilderness Medicine UK Conference - Cambridge University medical student VLOG #14"/>
        <s v="Oxbridge Medicine Interview - Q&amp;A"/>
        <s v="Speaking at a Medical Tech Conference - Cambridge University medical student VLOG #13"/>
        <s v="Medicine Interview Tips - Dealing with Nerves"/>
        <s v="Malignant haematology supervision - Cambridge University medical student VLOG #12"/>
        <s v="Medicine Interview Tips - Talking about Work Experience"/>
        <s v="Clinical School Pantomime audition - Cambridge University medical student VLOG #11"/>
        <s v="Oxbridge Medicine Interview - 15 Tips (Oxford / Cambridge)"/>
        <s v="6 tips for Medicine MMIs - Multiple Mini Interviews"/>
        <s v="Speaking on Live TV - Cambridge University medical student VLOG #10"/>
        <s v="Cambridge Medicine Interview - Experiences of 8 students"/>
        <s v="Interview Tips - How to answer &quot;Why Medicine?&quot;"/>
        <s v="My first lecture for medical students - Cambridge University medical student VLOG #09"/>
        <s v="How to prepare for Medicine Interviews"/>
        <s v="Applying to Medicine at Oxford or Cambridge - Questions to ask yourself, open days, stereotypes"/>
        <s v="Cambridge International Mental Health Conference - Cambridge University medical student VLOG #08"/>
        <s v="Apple picking in the Queen's orchards - Cambridge University medical student VLOG #07"/>
        <s v="How to write a Medicine Personal Statement - 13 tips"/>
        <s v="Obstetrics, Gynaecology and Baking - Cambridge University medical student VLOG #06"/>
        <s v="A day on Senior Medicine placement - Cambridge University medical student VLOG #05"/>
        <s v="Midnight Medical Emergency - Cambridge University medical student VLOG #04"/>
        <s v="Wilderness Medicine Expedition - Cambridge University medical student VLOG #03"/>
        <s v="6med MMI Crash Course - In a Nutshell"/>
        <s v="Journey to placement - Cambridge University medical student VLOG #02"/>
        <s v="Final year begins - Cambridge University medical student VLOG #01"/>
        <s v="BMAT Section 3 Essay - Everything you need to know | BMAT Tips series"/>
        <s v="The best day! Motorbiking up the coast of Vietnam - Cambridge Medical Elective #12"/>
        <s v="Tailored suits in Hoi An (Vietnam) - Cambridge Medical Elective #11"/>
        <s v="Ho Chi Minh City (Vietnam) - Cambridge Medical Elective #10"/>
        <s v="Temples of Siem Reap (Cambodia) - Cambridge Medical Elective #09"/>
        <s v="The Bat Caves of Battambang (Cambodia) - Cambridge Medical Elective #08"/>
        <s v="AirBnB Tour + Offered Drugs (Cambodia) - Cambridge Medical Elective #07"/>
        <s v="BMAT Section 2 Maths - 3 tips to boost your score | BMAT Tips Series"/>
        <s v="Sunset over Phnom Penh (Cambodia) - Cambridge Medical Elective #06"/>
        <s v="Animating the prototype | Medical Students Making an App - Episode 5"/>
        <s v="Coffee &amp; Sushi (Cambodia) - Cambridge Medical Elective #05"/>
        <s v="How to design an app | Medical Students Making an App - Episode 4"/>
        <s v="The Temple in the Sky (Cambodia) - Cambridge Medical Elective #04"/>
        <s v="How to make a website in 5 minutes | Medical Students Making an App - Episode 3"/>
        <s v="WE HAVE A COOL NAME | Medical Students Making an App - Episode 2"/>
        <s v="We're trying something new... | Medical Students Making an App - Episode 1"/>
        <s v="5 Star Hotel Poolside (Cambodia) - Cambridge Medical Elective #03"/>
        <s v="BMAT Section 2 Chemistry - How to speed up your calculations | BMAT Tips series"/>
        <s v="The Children's Surgical Centre (Cambodia) - Cambridge Medial Elective #02"/>
        <s v="Why I'm starting a Vlog - Cambridge Medical Elective #01"/>
        <s v="How to prepare for BMAT Section 2 Chemistry | BMAT Tips series"/>
        <s v="How to prepare for BMAT Section 2 Biology | BMAT Tips series"/>
        <s v="How to prepare for BMAT Section 2 Physics, even if you're not doing it at A-Level | BMAT Tips series"/>
        <s v="BMAT Section 2 - Everything you need to know | BMAT Tips series"/>
        <s v="BMAT Section 1 - Everything you need to know | BMAT Tips series"/>
        <s v="The Man Who Can't Be Moved (The Script) - Duranka Perera &amp; Ali Abdaal acoustic cover"/>
        <s v="How to Save a Life (The Fray) - Duranka Perera cover"/>
        <s v="Let It Go (James Bay) + Stitches (Shawn Mendes) Mashup - Sam Ahmed [Esayem Music] &amp; Suhail Idrees"/>
        <s v="When I Was Your Man (Bruno Mars) - Duranka Perera cover"/>
        <s v="Thinking Out Loud (Ed Sheeran) - Ali Abdaal &amp; Suhail Idrees"/>
        <s v="Payphone (Maroon 5) - Katherine Macfarland &amp; Ali Abdaal acoustic cover"/>
        <s v="6med UKCAT Crash Course - In a Nutshell"/>
        <s v="6med BMAT Crash Course - In a Nutshell"/>
        <s v="Rolling in the Deep (Adele) - Duranka Perera &amp; Ali Abdaal acoustic cover"/>
        <s v="All of Me (John Legend) - Duranka Perera"/>
        <s v="[Private] Lister iOS App walkthrough for patients"/>
        <s v="How to send pre course emails"/>
        <s v="Proximie Prototype 1 (12th July 2017)"/>
        <s v="Happy Birthday Mano!"/>
        <s v="Lister - London HealthTech Challenge"/>
        <s v="All of Me (John Legend) - Duranka and Ali's live recording"/>
        <s v="Monthly Singing - Project 1B - Michael Buble"/>
        <s v="[PRIVATE] Sherwood Quartet Audition"/>
        <s v="UCAT Online Course - Editors Guide 1"/>
        <s v="Video Labs Session 6 - I Lost My Life Savings"/>
        <s v="UCAT - Editors Guide Part 2"/>
        <s v="Project 1B John Mayer"/>
        <s v="Cerebrum - YC S16"/>
        <s v="Test"/>
        <s v="Remembering Fariha"/>
        <s v="[Kev Feedback] Stic Method"/>
        <s v="[Private] Lister walkthrough for Leicester trial 2018"/>
        <s v="Monthly Singing - Project 1B - Josh Groban"/>
        <s v="Project 1B Jason Mraz"/>
        <s v="Project 1C James Bay"/>
        <s v="Ursa Mini Pro G2 4.6K Prores422 Test 1"/>
        <s v="Project 1C Adele"/>
        <s v="Project 1B Zac Brown Band"/>
        <s v="BMAT Crash Course Instructors Guide Part 3 - Physics S2"/>
        <s v="Project 1B Ed Sheeran"/>
        <s v="BMAT Crash Course Instructors Guide Part 2 - Problem Solving"/>
        <s v="BMAT Crash Course Instructors Guide - How to teach Section 3"/>
        <s v="VideoLabs Intro - Ali Abdaal"/>
        <s v="[Private] Email Newsletter to Blog Post Conversion"/>
        <s v="How to make the most of Preclinical - 5 Tips"/>
        <s v="Aliyah + Zayd - A wedding video"/>
        <s v="GP Placement Tips"/>
        <s v="Private - Atomic Habits Video Final Cut (Ali)"/>
        <s v="BMAT Crash Course Instructors Guide - Part 1"/>
        <s v="Dr Omar - Goodbye video"/>
        <s v="Accent + Camera Presence"/>
        <s v="Maximising Your Foundation Programme Application - GMVS June 2020"/>
        <s v="Homemade Microsurgery Method - BSSH Educational Presentation Entry - Seb Tillie &amp; Ali Abdaal"/>
        <s v="Monthly Singing - Day 1 Intro Video"/>
        <s v="BASB - Ali's Mentor Session Week 4"/>
        <s v="Sudan Rough Cut - 28 March 2019"/>
        <s v="BASB - Ali's Mentor Session Week 5"/>
        <s v="Should you make videos in English?"/>
        <s v="BASB - Ali's Mentor Session Week 3"/>
        <s v="Ali Abdaal - Introduction | Part-Time YouTuber Academy"/>
        <s v="BASB Mentor Intro - Ali Abdaal"/>
        <s v="Friendship and Relationships - Not Overthinking with Valentin Perez, Cliff Weitzman, Taimur Abdaal"/>
        <s v="Not Overthinking - Live Podcast // Ali + Taimur Abdaal"/>
        <s v="Teatime with Ali - Live Q&amp;A"/>
        <s v="Live Stream - Study with Me"/>
        <s v="Study with Me - USMLE Prep"/>
        <s v="BMAT Crash Course Online - Ali Abdaal x 6med"/>
        <s v="Be Productive with Me // Lockdown Live Stream"/>
        <s v="UCAT Crash Course Online - Trailer"/>
        <s v="Happy Birthday Hashima!"/>
        <s v="2017 06 19 BMAT 01 Test Daytime"/>
        <s v="Proximie Prototype #2"/>
        <s v="Ali Abdaal - Clinical Entrepreneur 2017 Application"/>
        <s v="[Private] - Editor Tutorial - iPad Annotated Drawings"/>
        <s v="[Private Panto] Stephen's Song"/>
      </sharedItems>
    </cacheField>
    <cacheField name="Video Type" numFmtId="0">
      <sharedItems containsBlank="1" count="7">
        <s v="D"/>
        <s v="E"/>
        <s v="B"/>
        <s v="A"/>
        <s v="C"/>
        <s v="F"/>
        <m/>
      </sharedItems>
    </cacheField>
    <cacheField name="Video publish time" numFmtId="164">
      <sharedItems containsSemiMixedTypes="0" containsNonDate="0" containsDate="1" containsString="0" minDate="1970-01-01T00:00:00" maxDate="2020-10-29T00:00:00"/>
    </cacheField>
    <cacheField name="EMPs" numFmtId="3">
      <sharedItems containsSemiMixedTypes="0" containsString="0" containsNumber="1" containsInteger="1" minValue="0" maxValue="2781039"/>
    </cacheField>
    <cacheField name="CPM (GBP)" numFmtId="2">
      <sharedItems containsString="0" containsBlank="1" containsNumber="1" minValue="2.1920000000000002" maxValue="16.181999999999999"/>
    </cacheField>
    <cacheField name="End screen element clicks" numFmtId="3">
      <sharedItems containsString="0" containsBlank="1" containsNumber="1" containsInteger="1" minValue="0" maxValue="27443"/>
    </cacheField>
    <cacheField name="RPM (GBP)" numFmtId="2">
      <sharedItems containsString="0" containsBlank="1" containsNumber="1" minValue="0" maxValue="5.444"/>
    </cacheField>
    <cacheField name="AWT (%)" numFmtId="2">
      <sharedItems containsString="0" containsBlank="1" containsNumber="1" minValue="0.51" maxValue="108.75"/>
    </cacheField>
    <cacheField name="Views" numFmtId="3">
      <sharedItems containsString="0" containsBlank="1" containsNumber="1" containsInteger="1" minValue="0" maxValue="4858464"/>
    </cacheField>
    <cacheField name="Watch Time" numFmtId="3">
      <sharedItems containsString="0" containsBlank="1" containsNumber="1" minValue="0" maxValue="222472.4957"/>
    </cacheField>
    <cacheField name="Subscribers" numFmtId="0">
      <sharedItems containsString="0" containsBlank="1" containsNumber="1" containsInteger="1" minValue="-107" maxValue="149719"/>
    </cacheField>
    <cacheField name="Revenue" numFmtId="2">
      <sharedItems containsSemiMixedTypes="0" containsString="0" containsNumber="1" minValue="0" maxValue="9512.5589999999993"/>
    </cacheField>
    <cacheField name="Impressions" numFmtId="3">
      <sharedItems containsSemiMixedTypes="0" containsString="0" containsNumber="1" containsInteger="1" minValue="0" maxValue="62191081"/>
    </cacheField>
    <cacheField name="CTR" numFmtId="0">
      <sharedItems containsString="0" containsBlank="1" containsNumber="1" minValue="0" maxValue="100"/>
    </cacheField>
    <cacheField name="Video Length" numFmtId="0">
      <sharedItems containsNonDate="0" containsDate="1" containsString="0" containsBlank="1" minDate="1899-12-30T00:02:53" maxDate="1899-12-30T03:29:08"/>
    </cacheField>
    <cacheField name="Length (Sec)" numFmtId="0">
      <sharedItems containsString="0" containsBlank="1" containsNumber="1" containsInteger="1" minValue="173" maxValue="3379"/>
    </cacheField>
    <cacheField name="Length Category" numFmtId="0">
      <sharedItems containsBlank="1" count="4">
        <m/>
        <s v="Short"/>
        <s v="Mid"/>
        <s v="Long"/>
      </sharedItems>
    </cacheField>
    <cacheField name="Date Validator" numFmtId="0">
      <sharedItems count="2">
        <b v="1"/>
        <b v="0"/>
      </sharedItems>
    </cacheField>
    <cacheField name="Views Validator" numFmtId="0">
      <sharedItems count="2">
        <b v="1"/>
        <b v="0"/>
      </sharedItems>
    </cacheField>
    <cacheField name="TN A" numFmtId="0">
      <sharedItems containsString="0" containsBlank="1" containsNumber="1" containsInteger="1" minValue="1" maxValue="1"/>
    </cacheField>
    <cacheField name="TN B" numFmtId="0">
      <sharedItems containsString="0" containsBlank="1" containsNumber="1" containsInteger="1" minValue="1" maxValue="1"/>
    </cacheField>
    <cacheField name="TN C" numFmtId="0">
      <sharedItems containsString="0" containsBlank="1" containsNumber="1" containsInteger="1" minValue="1" maxValue="1"/>
    </cacheField>
    <cacheField name="TN D" numFmtId="0">
      <sharedItems containsString="0" containsBlank="1" containsNumber="1" containsInteger="1" minValue="1" maxValue="1"/>
    </cacheField>
    <cacheField name="TN E" numFmtId="0">
      <sharedItems containsString="0" containsBlank="1" containsNumber="1" containsInteger="1" minValue="1" maxValue="1"/>
    </cacheField>
    <cacheField name="TN F" numFmtId="0">
      <sharedItems containsString="0" containsBlank="1" containsNumber="1" containsInteger="1" minValue="1" maxValue="1"/>
    </cacheField>
    <cacheField name="TN G" numFmtId="0">
      <sharedItems containsString="0" containsBlank="1" containsNumber="1" containsInteger="1" minValue="1" maxValue="1"/>
    </cacheField>
    <cacheField name="TN H" numFmtId="0">
      <sharedItems containsString="0" containsBlank="1" containsNumber="1" containsInteger="1" minValue="1" maxValue="1"/>
    </cacheField>
    <cacheField name="TN I" numFmtId="0">
      <sharedItems containsString="0" containsBlank="1" containsNumber="1" containsInteger="1" minValue="1" maxValue="1"/>
    </cacheField>
    <cacheField name="TN J" numFmtId="0">
      <sharedItems containsString="0" containsBlank="1" containsNumber="1" containsInteger="1" minValue="1" maxValue="1"/>
    </cacheField>
    <cacheField name="% India" numFmtId="0">
      <sharedItems containsString="0" containsBlank="1" containsNumber="1" minValue="7.4" maxValue="23.2"/>
    </cacheField>
    <cacheField name="% US" numFmtId="0">
      <sharedItems containsString="0" containsBlank="1" containsNumber="1" minValue="11.6" maxValue="29"/>
    </cacheField>
    <cacheField name="% UK" numFmtId="0">
      <sharedItems containsString="0" containsBlank="1" containsNumber="1" minValue="6.5" maxValue="22.3"/>
    </cacheField>
    <cacheField name="TN K" numFmtId="0">
      <sharedItems containsString="0" containsBlank="1" containsNumber="1" containsInteger="1" minValue="1" maxValue="1"/>
    </cacheField>
    <cacheField name="TN L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4">
  <r>
    <x v="0"/>
    <x v="0"/>
    <d v="2020-10-28T00:00:00"/>
    <n v="11013"/>
    <n v="6.3570000000000002"/>
    <n v="0"/>
    <n v="3.399"/>
    <n v="6.08"/>
    <n v="19686"/>
    <n v="1221.2108000000001"/>
    <n v="-44"/>
    <n v="63.982999999999997"/>
    <n v="709919"/>
    <n v="1.68"/>
    <m/>
    <m/>
    <x v="0"/>
    <x v="0"/>
    <x v="0"/>
    <m/>
    <m/>
    <m/>
    <m/>
    <m/>
    <m/>
    <m/>
    <m/>
    <m/>
    <m/>
    <m/>
    <m/>
    <m/>
    <m/>
    <m/>
  </r>
  <r>
    <x v="1"/>
    <x v="0"/>
    <d v="2020-10-27T00:00:00"/>
    <n v="14625"/>
    <n v="4.3970000000000002"/>
    <n v="0"/>
    <n v="2.2050000000000001"/>
    <n v="6.53"/>
    <n v="20607"/>
    <n v="2699.63"/>
    <n v="-89"/>
    <n v="44.186"/>
    <n v="1264365"/>
    <n v="0.86"/>
    <m/>
    <m/>
    <x v="0"/>
    <x v="0"/>
    <x v="0"/>
    <m/>
    <m/>
    <m/>
    <m/>
    <m/>
    <m/>
    <m/>
    <m/>
    <m/>
    <m/>
    <m/>
    <m/>
    <m/>
    <m/>
    <m/>
  </r>
  <r>
    <x v="2"/>
    <x v="1"/>
    <d v="2020-10-27T00:00:00"/>
    <n v="11722"/>
    <n v="5.4470000000000001"/>
    <n v="0"/>
    <n v="0.92500000000000004"/>
    <n v="34.24"/>
    <n v="49543"/>
    <n v="2734.7586999999999"/>
    <n v="37"/>
    <n v="44.226999999999997"/>
    <n v="686509"/>
    <n v="4.51"/>
    <d v="1899-12-30T00:09:40"/>
    <n v="580"/>
    <x v="1"/>
    <x v="0"/>
    <x v="0"/>
    <m/>
    <m/>
    <m/>
    <m/>
    <m/>
    <m/>
    <m/>
    <m/>
    <n v="1"/>
    <m/>
    <n v="23.2"/>
    <n v="11.8"/>
    <n v="12.6"/>
    <m/>
    <n v="1"/>
  </r>
  <r>
    <x v="3"/>
    <x v="2"/>
    <d v="2020-10-21T00:00:00"/>
    <n v="0"/>
    <m/>
    <n v="1350"/>
    <n v="0"/>
    <n v="38.29"/>
    <n v="161069"/>
    <n v="10898.486999999999"/>
    <n v="704"/>
    <n v="0"/>
    <n v="2124061"/>
    <n v="5.12"/>
    <d v="1899-12-30T00:10:36"/>
    <n v="636"/>
    <x v="2"/>
    <x v="0"/>
    <x v="0"/>
    <n v="1"/>
    <n v="1"/>
    <m/>
    <m/>
    <n v="1"/>
    <m/>
    <m/>
    <m/>
    <m/>
    <m/>
    <n v="15.8"/>
    <n v="13.2"/>
    <n v="13.1"/>
    <m/>
    <m/>
  </r>
  <r>
    <x v="4"/>
    <x v="0"/>
    <d v="2020-10-19T00:00:00"/>
    <n v="14896"/>
    <n v="4.17"/>
    <n v="0"/>
    <n v="2.109"/>
    <n v="5.72"/>
    <n v="21216"/>
    <n v="1878.2763"/>
    <n v="-100"/>
    <n v="44.713000000000001"/>
    <n v="1359522"/>
    <n v="0.86"/>
    <m/>
    <m/>
    <x v="0"/>
    <x v="0"/>
    <x v="0"/>
    <m/>
    <m/>
    <m/>
    <m/>
    <m/>
    <m/>
    <m/>
    <m/>
    <m/>
    <m/>
    <m/>
    <m/>
    <m/>
    <m/>
    <m/>
  </r>
  <r>
    <x v="5"/>
    <x v="2"/>
    <d v="2020-10-18T00:00:00"/>
    <n v="254428"/>
    <n v="5.0389999999999997"/>
    <n v="10567"/>
    <n v="2.6219999999999999"/>
    <n v="52.42"/>
    <n v="325384"/>
    <n v="18010.430899999999"/>
    <n v="1693"/>
    <n v="841.33500000000004"/>
    <n v="3866479"/>
    <n v="5.56"/>
    <d v="1899-12-30T00:06:20"/>
    <n v="380"/>
    <x v="1"/>
    <x v="0"/>
    <x v="0"/>
    <n v="1"/>
    <n v="1"/>
    <m/>
    <m/>
    <n v="1"/>
    <m/>
    <m/>
    <m/>
    <m/>
    <m/>
    <n v="11.5"/>
    <n v="21.3"/>
    <n v="20.3"/>
    <m/>
    <m/>
  </r>
  <r>
    <x v="6"/>
    <x v="3"/>
    <d v="2020-10-14T00:00:00"/>
    <n v="0"/>
    <m/>
    <n v="4932"/>
    <n v="0"/>
    <n v="52.32"/>
    <n v="194225"/>
    <n v="13492.349"/>
    <n v="386"/>
    <n v="0"/>
    <n v="2784203"/>
    <n v="4.8899999999999997"/>
    <d v="1899-12-30T00:07:58"/>
    <n v="478"/>
    <x v="1"/>
    <x v="0"/>
    <x v="0"/>
    <n v="1"/>
    <m/>
    <m/>
    <m/>
    <n v="1"/>
    <m/>
    <m/>
    <m/>
    <m/>
    <n v="1"/>
    <n v="14.9"/>
    <n v="13.6"/>
    <n v="18"/>
    <m/>
    <m/>
  </r>
  <r>
    <x v="7"/>
    <x v="2"/>
    <d v="2020-10-11T00:00:00"/>
    <n v="200805"/>
    <n v="6.944"/>
    <n v="1664"/>
    <n v="4.04"/>
    <n v="29.4"/>
    <n v="225330"/>
    <n v="32199.139599999999"/>
    <n v="2283"/>
    <n v="897.25400000000002"/>
    <n v="4742790"/>
    <n v="2.82"/>
    <d v="1899-12-30T00:29:09"/>
    <n v="1749"/>
    <x v="3"/>
    <x v="0"/>
    <x v="0"/>
    <n v="1"/>
    <m/>
    <m/>
    <n v="1"/>
    <n v="1"/>
    <m/>
    <m/>
    <n v="1"/>
    <m/>
    <n v="1"/>
    <n v="9.6"/>
    <n v="12.4"/>
    <n v="21.2"/>
    <n v="1"/>
    <m/>
  </r>
  <r>
    <x v="8"/>
    <x v="0"/>
    <d v="2020-10-09T00:00:00"/>
    <n v="22367"/>
    <n v="4.4649999999999999"/>
    <n v="0"/>
    <n v="2.4380000000000002"/>
    <n v="5.58"/>
    <n v="28916"/>
    <n v="3241.6237999999998"/>
    <n v="-30"/>
    <n v="70.244"/>
    <n v="1080304"/>
    <n v="1.25"/>
    <m/>
    <m/>
    <x v="0"/>
    <x v="0"/>
    <x v="0"/>
    <m/>
    <m/>
    <m/>
    <m/>
    <m/>
    <m/>
    <m/>
    <m/>
    <m/>
    <m/>
    <m/>
    <m/>
    <m/>
    <m/>
    <m/>
  </r>
  <r>
    <x v="9"/>
    <x v="4"/>
    <d v="2020-10-08T00:00:00"/>
    <n v="0"/>
    <m/>
    <n v="3770"/>
    <n v="0"/>
    <n v="30.65"/>
    <n v="368991"/>
    <n v="29949.291799999999"/>
    <n v="4131"/>
    <n v="0"/>
    <n v="4394694"/>
    <n v="5.1100000000000003"/>
    <d v="1899-12-30T00:15:53"/>
    <n v="953"/>
    <x v="2"/>
    <x v="0"/>
    <x v="0"/>
    <n v="1"/>
    <m/>
    <m/>
    <n v="1"/>
    <n v="1"/>
    <m/>
    <m/>
    <m/>
    <n v="1"/>
    <n v="1"/>
    <n v="16.399999999999999"/>
    <n v="13.4"/>
    <n v="10.5"/>
    <m/>
    <m/>
  </r>
  <r>
    <x v="10"/>
    <x v="0"/>
    <d v="2020-10-07T00:00:00"/>
    <n v="23689"/>
    <n v="4.4669999999999996"/>
    <n v="0"/>
    <n v="2.3090000000000002"/>
    <n v="11.33"/>
    <n v="31556"/>
    <n v="3675.8220999999999"/>
    <n v="-55"/>
    <n v="72.853999999999999"/>
    <n v="931390"/>
    <n v="1.75"/>
    <m/>
    <m/>
    <x v="0"/>
    <x v="0"/>
    <x v="0"/>
    <m/>
    <m/>
    <m/>
    <m/>
    <m/>
    <m/>
    <m/>
    <m/>
    <m/>
    <m/>
    <m/>
    <m/>
    <m/>
    <m/>
    <m/>
  </r>
  <r>
    <x v="11"/>
    <x v="3"/>
    <d v="2020-10-04T00:00:00"/>
    <n v="151023"/>
    <n v="4.7889999999999997"/>
    <n v="731"/>
    <n v="2.6160000000000001"/>
    <n v="33.61"/>
    <n v="181234"/>
    <n v="22676.600699999999"/>
    <n v="498"/>
    <n v="472.20400000000001"/>
    <n v="3409309"/>
    <n v="3.37"/>
    <d v="1899-12-30T00:22:20"/>
    <n v="1340"/>
    <x v="3"/>
    <x v="0"/>
    <x v="0"/>
    <n v="1"/>
    <m/>
    <n v="1"/>
    <n v="1"/>
    <n v="1"/>
    <m/>
    <m/>
    <m/>
    <m/>
    <n v="1"/>
    <n v="13.8"/>
    <n v="12.9"/>
    <n v="15.9"/>
    <m/>
    <m/>
  </r>
  <r>
    <x v="12"/>
    <x v="5"/>
    <d v="2020-10-01T00:00:00"/>
    <n v="147435"/>
    <n v="3.8690000000000002"/>
    <n v="3077"/>
    <n v="2.069"/>
    <n v="37.9"/>
    <n v="186557"/>
    <n v="14650.5265"/>
    <n v="691"/>
    <n v="383.42"/>
    <n v="2643396"/>
    <n v="4.5599999999999996"/>
    <d v="1899-12-30T00:12:26"/>
    <n v="746"/>
    <x v="2"/>
    <x v="0"/>
    <x v="0"/>
    <n v="1"/>
    <n v="1"/>
    <m/>
    <n v="1"/>
    <n v="1"/>
    <m/>
    <n v="1"/>
    <n v="1"/>
    <m/>
    <m/>
    <n v="17.5"/>
    <n v="12.6"/>
    <n v="12.4"/>
    <m/>
    <m/>
  </r>
  <r>
    <x v="13"/>
    <x v="1"/>
    <d v="2020-09-29T00:00:00"/>
    <n v="0"/>
    <m/>
    <n v="1919"/>
    <n v="0"/>
    <n v="39.56"/>
    <n v="101720"/>
    <n v="5813.4517999999998"/>
    <n v="373"/>
    <n v="0"/>
    <n v="1655360"/>
    <n v="3.59"/>
    <d v="1899-12-30T00:08:40"/>
    <n v="520"/>
    <x v="1"/>
    <x v="0"/>
    <x v="0"/>
    <m/>
    <m/>
    <m/>
    <m/>
    <m/>
    <m/>
    <m/>
    <m/>
    <n v="1"/>
    <m/>
    <n v="17.3"/>
    <n v="12.7"/>
    <n v="11.5"/>
    <m/>
    <n v="1"/>
  </r>
  <r>
    <x v="14"/>
    <x v="3"/>
    <d v="2020-09-27T00:00:00"/>
    <n v="254756"/>
    <n v="4.8010000000000002"/>
    <n v="590"/>
    <n v="3.3820000000000001"/>
    <n v="42.51"/>
    <n v="319779"/>
    <n v="22771.722600000001"/>
    <n v="947"/>
    <n v="1079.3630000000001"/>
    <n v="3772338"/>
    <n v="5.56"/>
    <d v="1899-12-30T00:10:03"/>
    <n v="603"/>
    <x v="2"/>
    <x v="0"/>
    <x v="0"/>
    <n v="1"/>
    <n v="1"/>
    <m/>
    <m/>
    <n v="1"/>
    <m/>
    <m/>
    <m/>
    <m/>
    <m/>
    <n v="16.399999999999999"/>
    <n v="14.5"/>
    <n v="17.7"/>
    <m/>
    <m/>
  </r>
  <r>
    <x v="15"/>
    <x v="2"/>
    <d v="2020-09-25T00:00:00"/>
    <n v="0"/>
    <m/>
    <n v="0"/>
    <n v="0"/>
    <n v="27.87"/>
    <n v="157163"/>
    <n v="12446.6533"/>
    <n v="664"/>
    <n v="0"/>
    <n v="2235003"/>
    <n v="4.3"/>
    <d v="1899-12-30T00:17:03"/>
    <n v="1023"/>
    <x v="2"/>
    <x v="0"/>
    <x v="0"/>
    <n v="1"/>
    <n v="1"/>
    <m/>
    <m/>
    <n v="1"/>
    <m/>
    <m/>
    <n v="1"/>
    <m/>
    <m/>
    <n v="14.4"/>
    <n v="15.2"/>
    <n v="13.6"/>
    <m/>
    <m/>
  </r>
  <r>
    <x v="16"/>
    <x v="0"/>
    <d v="2020-09-24T00:00:00"/>
    <n v="23626"/>
    <n v="7.1440000000000001"/>
    <n v="0"/>
    <n v="4.5490000000000004"/>
    <n v="6.2"/>
    <n v="31261"/>
    <n v="4216.6531999999997"/>
    <n v="-50"/>
    <n v="142.136"/>
    <n v="1171037"/>
    <n v="1.34"/>
    <m/>
    <m/>
    <x v="0"/>
    <x v="0"/>
    <x v="0"/>
    <m/>
    <m/>
    <m/>
    <m/>
    <m/>
    <m/>
    <m/>
    <m/>
    <m/>
    <m/>
    <m/>
    <m/>
    <m/>
    <m/>
    <m/>
  </r>
  <r>
    <x v="17"/>
    <x v="1"/>
    <d v="2020-09-23T00:00:00"/>
    <n v="0"/>
    <m/>
    <n v="4595"/>
    <n v="0"/>
    <n v="47.45"/>
    <n v="186837"/>
    <n v="9850.5671999999995"/>
    <n v="1350"/>
    <n v="0"/>
    <n v="2420977"/>
    <n v="4.7300000000000004"/>
    <d v="1899-12-30T00:06:40"/>
    <n v="400"/>
    <x v="1"/>
    <x v="0"/>
    <x v="0"/>
    <n v="1"/>
    <m/>
    <m/>
    <n v="1"/>
    <n v="1"/>
    <m/>
    <m/>
    <m/>
    <n v="1"/>
    <n v="1"/>
    <n v="13.5"/>
    <n v="14.9"/>
    <n v="14.4"/>
    <m/>
    <m/>
  </r>
  <r>
    <x v="18"/>
    <x v="6"/>
    <d v="2020-09-21T00:00:00"/>
    <n v="64527"/>
    <n v="5.2380000000000004"/>
    <n v="0"/>
    <n v="2.81"/>
    <n v="2.2400000000000002"/>
    <n v="91058"/>
    <n v="4847.9423999999999"/>
    <n v="85"/>
    <n v="255.352"/>
    <n v="1229342"/>
    <n v="4.92"/>
    <m/>
    <m/>
    <x v="0"/>
    <x v="0"/>
    <x v="0"/>
    <n v="1"/>
    <m/>
    <n v="1"/>
    <m/>
    <m/>
    <m/>
    <m/>
    <n v="1"/>
    <m/>
    <n v="1"/>
    <m/>
    <m/>
    <m/>
    <m/>
    <m/>
  </r>
  <r>
    <x v="19"/>
    <x v="0"/>
    <d v="2020-09-18T00:00:00"/>
    <n v="16985"/>
    <n v="4.9960000000000004"/>
    <n v="0"/>
    <n v="2.552"/>
    <n v="6.05"/>
    <n v="24217"/>
    <n v="2722.4011999999998"/>
    <n v="-47"/>
    <n v="61.777999999999999"/>
    <n v="973853"/>
    <n v="1.29"/>
    <m/>
    <m/>
    <x v="0"/>
    <x v="0"/>
    <x v="0"/>
    <m/>
    <m/>
    <m/>
    <m/>
    <m/>
    <m/>
    <m/>
    <m/>
    <m/>
    <m/>
    <m/>
    <m/>
    <m/>
    <m/>
    <m/>
  </r>
  <r>
    <x v="20"/>
    <x v="5"/>
    <d v="2020-09-18T00:00:00"/>
    <n v="0"/>
    <m/>
    <n v="6610"/>
    <n v="0"/>
    <n v="34.4"/>
    <n v="353128"/>
    <n v="22813.696800000002"/>
    <n v="2771"/>
    <n v="0"/>
    <n v="3641720"/>
    <n v="6.26"/>
    <d v="1899-12-30T00:11:16"/>
    <n v="676"/>
    <x v="2"/>
    <x v="0"/>
    <x v="0"/>
    <n v="1"/>
    <n v="1"/>
    <m/>
    <n v="1"/>
    <n v="1"/>
    <m/>
    <m/>
    <n v="1"/>
    <m/>
    <m/>
    <n v="17.8"/>
    <n v="15"/>
    <n v="10.8"/>
    <m/>
    <m/>
  </r>
  <r>
    <x v="21"/>
    <x v="0"/>
    <d v="2020-09-16T00:00:00"/>
    <n v="28440"/>
    <n v="5.8609999999999998"/>
    <n v="0"/>
    <n v="3.2690000000000001"/>
    <n v="6.7"/>
    <n v="40201"/>
    <n v="5742.2920000000004"/>
    <n v="-35"/>
    <n v="131.34299999999999"/>
    <n v="1571419"/>
    <n v="1.31"/>
    <m/>
    <m/>
    <x v="0"/>
    <x v="0"/>
    <x v="0"/>
    <m/>
    <m/>
    <m/>
    <m/>
    <m/>
    <m/>
    <m/>
    <m/>
    <m/>
    <m/>
    <m/>
    <m/>
    <m/>
    <m/>
    <m/>
  </r>
  <r>
    <x v="22"/>
    <x v="0"/>
    <d v="2020-09-09T00:00:00"/>
    <n v="23272"/>
    <n v="5.266"/>
    <n v="0"/>
    <n v="3.4820000000000002"/>
    <n v="7.56"/>
    <n v="31039"/>
    <n v="4007.5614"/>
    <n v="-89"/>
    <n v="108.072"/>
    <n v="1408215"/>
    <n v="1.26"/>
    <m/>
    <m/>
    <x v="0"/>
    <x v="0"/>
    <x v="0"/>
    <m/>
    <m/>
    <m/>
    <m/>
    <m/>
    <m/>
    <m/>
    <m/>
    <m/>
    <m/>
    <m/>
    <m/>
    <m/>
    <m/>
    <m/>
  </r>
  <r>
    <x v="23"/>
    <x v="3"/>
    <d v="2020-09-09T00:00:00"/>
    <n v="0"/>
    <m/>
    <n v="4625"/>
    <n v="0"/>
    <n v="39"/>
    <n v="238562"/>
    <n v="20909.1378"/>
    <n v="1301"/>
    <n v="0"/>
    <n v="3701705"/>
    <n v="4.47"/>
    <d v="1899-12-30T00:13:29"/>
    <n v="809"/>
    <x v="2"/>
    <x v="0"/>
    <x v="0"/>
    <n v="1"/>
    <m/>
    <m/>
    <n v="1"/>
    <m/>
    <m/>
    <m/>
    <n v="1"/>
    <m/>
    <n v="1"/>
    <n v="14.2"/>
    <n v="13.5"/>
    <n v="18.2"/>
    <n v="1"/>
    <m/>
  </r>
  <r>
    <x v="24"/>
    <x v="6"/>
    <d v="2020-09-08T00:00:00"/>
    <n v="0"/>
    <m/>
    <n v="0"/>
    <n v="0"/>
    <n v="3.09"/>
    <n v="46929"/>
    <n v="2263.5225"/>
    <n v="-18"/>
    <n v="0"/>
    <n v="448782"/>
    <n v="6.96"/>
    <m/>
    <m/>
    <x v="0"/>
    <x v="0"/>
    <x v="0"/>
    <m/>
    <m/>
    <m/>
    <m/>
    <m/>
    <m/>
    <m/>
    <m/>
    <m/>
    <m/>
    <m/>
    <m/>
    <m/>
    <m/>
    <m/>
  </r>
  <r>
    <x v="25"/>
    <x v="0"/>
    <d v="2020-09-07T00:00:00"/>
    <n v="22400"/>
    <n v="4.3049999999999997"/>
    <n v="0"/>
    <n v="2.23"/>
    <n v="8.14"/>
    <n v="30815"/>
    <n v="3719.3476999999998"/>
    <n v="-34"/>
    <n v="68.694999999999993"/>
    <n v="1606952"/>
    <n v="1.1000000000000001"/>
    <m/>
    <m/>
    <x v="0"/>
    <x v="0"/>
    <x v="0"/>
    <m/>
    <m/>
    <m/>
    <m/>
    <m/>
    <m/>
    <m/>
    <m/>
    <m/>
    <m/>
    <m/>
    <m/>
    <m/>
    <m/>
    <m/>
  </r>
  <r>
    <x v="26"/>
    <x v="0"/>
    <d v="2020-09-06T00:00:00"/>
    <n v="30926"/>
    <n v="3.274"/>
    <n v="0"/>
    <n v="1.56"/>
    <n v="7.11"/>
    <n v="45031"/>
    <n v="6361.0736999999999"/>
    <n v="-107"/>
    <n v="70.259"/>
    <n v="1737048"/>
    <n v="1.48"/>
    <m/>
    <m/>
    <x v="0"/>
    <x v="0"/>
    <x v="0"/>
    <m/>
    <m/>
    <m/>
    <m/>
    <m/>
    <m/>
    <m/>
    <m/>
    <m/>
    <m/>
    <m/>
    <m/>
    <m/>
    <m/>
    <m/>
  </r>
  <r>
    <x v="27"/>
    <x v="3"/>
    <d v="2020-09-01T00:00:00"/>
    <n v="3076"/>
    <n v="5.4269999999999996"/>
    <n v="100"/>
    <n v="7.0999999999999994E-2"/>
    <n v="24.86"/>
    <n v="155895"/>
    <n v="10184.971100000001"/>
    <n v="1117"/>
    <n v="11.087"/>
    <n v="2485531"/>
    <n v="4.5599999999999996"/>
    <d v="1899-12-30T00:15:46"/>
    <n v="946"/>
    <x v="2"/>
    <x v="0"/>
    <x v="0"/>
    <n v="1"/>
    <n v="1"/>
    <m/>
    <m/>
    <n v="1"/>
    <m/>
    <m/>
    <n v="1"/>
    <m/>
    <m/>
    <n v="13.8"/>
    <n v="12.7"/>
    <n v="18.8"/>
    <n v="1"/>
    <m/>
  </r>
  <r>
    <x v="28"/>
    <x v="1"/>
    <d v="2020-08-25T00:00:00"/>
    <n v="14628"/>
    <n v="6.4779999999999998"/>
    <n v="961"/>
    <n v="0.41"/>
    <n v="32.51"/>
    <n v="185399"/>
    <n v="13460.332700000001"/>
    <n v="1507"/>
    <n v="75.977999999999994"/>
    <n v="2975280"/>
    <n v="4.0999999999999996"/>
    <d v="1899-12-30T00:13:24"/>
    <n v="804"/>
    <x v="2"/>
    <x v="0"/>
    <x v="0"/>
    <m/>
    <m/>
    <m/>
    <m/>
    <m/>
    <m/>
    <m/>
    <m/>
    <n v="1"/>
    <m/>
    <n v="16.899999999999999"/>
    <n v="13.4"/>
    <n v="9.6999999999999993"/>
    <m/>
    <n v="1"/>
  </r>
  <r>
    <x v="29"/>
    <x v="5"/>
    <d v="2020-08-23T00:00:00"/>
    <n v="189908"/>
    <n v="4.4969999999999999"/>
    <n v="2591"/>
    <n v="2.1230000000000002"/>
    <n v="32.32"/>
    <n v="257461"/>
    <n v="16340.848099999999"/>
    <n v="1465"/>
    <n v="544.93799999999999"/>
    <n v="3378734"/>
    <n v="5.39"/>
    <d v="1899-12-30T00:11:47"/>
    <n v="707"/>
    <x v="2"/>
    <x v="0"/>
    <x v="0"/>
    <n v="1"/>
    <m/>
    <m/>
    <m/>
    <n v="1"/>
    <m/>
    <m/>
    <n v="1"/>
    <m/>
    <n v="1"/>
    <n v="12"/>
    <n v="18.5"/>
    <n v="11.2"/>
    <m/>
    <m/>
  </r>
  <r>
    <x v="30"/>
    <x v="2"/>
    <d v="2020-08-20T00:00:00"/>
    <n v="272967"/>
    <n v="5.22"/>
    <n v="2430"/>
    <n v="2.6720000000000002"/>
    <n v="31.85"/>
    <n v="339088"/>
    <n v="28111.454399999999"/>
    <n v="3615"/>
    <n v="902.97699999999998"/>
    <n v="4636091"/>
    <n v="4.59"/>
    <d v="1899-12-30T00:15:37"/>
    <n v="937"/>
    <x v="2"/>
    <x v="0"/>
    <x v="0"/>
    <n v="1"/>
    <m/>
    <n v="1"/>
    <m/>
    <m/>
    <m/>
    <m/>
    <n v="1"/>
    <m/>
    <n v="1"/>
    <n v="13.7"/>
    <n v="17.8"/>
    <n v="10.1"/>
    <n v="1"/>
    <m/>
  </r>
  <r>
    <x v="31"/>
    <x v="0"/>
    <d v="2020-08-19T00:00:00"/>
    <n v="54664"/>
    <n v="5.9640000000000004"/>
    <n v="0"/>
    <n v="3.1120000000000001"/>
    <n v="10.15"/>
    <n v="84448"/>
    <n v="15185.124400000001"/>
    <n v="252"/>
    <n v="262.75299999999999"/>
    <n v="2911045"/>
    <n v="1.59"/>
    <m/>
    <m/>
    <x v="0"/>
    <x v="0"/>
    <x v="0"/>
    <m/>
    <m/>
    <m/>
    <m/>
    <m/>
    <m/>
    <m/>
    <m/>
    <m/>
    <m/>
    <m/>
    <m/>
    <m/>
    <m/>
    <m/>
  </r>
  <r>
    <x v="32"/>
    <x v="2"/>
    <d v="2020-08-18T00:00:00"/>
    <n v="766475"/>
    <n v="4.5010000000000003"/>
    <n v="3886"/>
    <n v="0.90200000000000002"/>
    <n v="23.34"/>
    <n v="3064134"/>
    <n v="185417.22579999999"/>
    <n v="37946"/>
    <n v="2754.5639999999999"/>
    <n v="37218061"/>
    <n v="5.62"/>
    <d v="1899-12-30T00:15:33"/>
    <n v="933"/>
    <x v="0"/>
    <x v="0"/>
    <x v="0"/>
    <m/>
    <m/>
    <m/>
    <m/>
    <m/>
    <m/>
    <m/>
    <m/>
    <m/>
    <m/>
    <n v="16.399999999999999"/>
    <n v="26.1"/>
    <n v="6.5"/>
    <m/>
    <m/>
  </r>
  <r>
    <x v="33"/>
    <x v="6"/>
    <d v="2020-08-11T00:00:00"/>
    <n v="0"/>
    <m/>
    <n v="0"/>
    <m/>
    <m/>
    <n v="0"/>
    <n v="0"/>
    <n v="0"/>
    <n v="0"/>
    <n v="0"/>
    <m/>
    <m/>
    <m/>
    <x v="0"/>
    <x v="0"/>
    <x v="1"/>
    <m/>
    <m/>
    <m/>
    <m/>
    <m/>
    <m/>
    <m/>
    <m/>
    <m/>
    <m/>
    <m/>
    <m/>
    <m/>
    <m/>
    <m/>
  </r>
  <r>
    <x v="34"/>
    <x v="0"/>
    <d v="2020-08-11T00:00:00"/>
    <n v="46313"/>
    <n v="3.5760000000000001"/>
    <n v="0"/>
    <n v="1.506"/>
    <n v="5.37"/>
    <n v="75156"/>
    <n v="4362.1949999999997"/>
    <n v="-17"/>
    <n v="113.17400000000001"/>
    <n v="1919805"/>
    <n v="2.61"/>
    <m/>
    <m/>
    <x v="0"/>
    <x v="0"/>
    <x v="0"/>
    <m/>
    <m/>
    <m/>
    <m/>
    <m/>
    <m/>
    <m/>
    <m/>
    <m/>
    <m/>
    <m/>
    <m/>
    <m/>
    <m/>
    <m/>
  </r>
  <r>
    <x v="35"/>
    <x v="3"/>
    <d v="2020-08-11T00:00:00"/>
    <n v="11265"/>
    <n v="4.4279999999999999"/>
    <n v="792"/>
    <n v="0.189"/>
    <n v="41.49"/>
    <n v="158809"/>
    <n v="7759.6498000000001"/>
    <n v="580"/>
    <n v="29.963999999999999"/>
    <n v="2203605"/>
    <n v="4.78"/>
    <d v="1899-12-30T00:07:04"/>
    <n v="424"/>
    <x v="1"/>
    <x v="0"/>
    <x v="0"/>
    <m/>
    <m/>
    <n v="1"/>
    <n v="1"/>
    <m/>
    <m/>
    <m/>
    <m/>
    <n v="1"/>
    <m/>
    <n v="16.8"/>
    <n v="12.5"/>
    <n v="12.5"/>
    <m/>
    <n v="1"/>
  </r>
  <r>
    <x v="36"/>
    <x v="1"/>
    <d v="2020-08-09T00:00:00"/>
    <n v="72914"/>
    <n v="4.6619999999999999"/>
    <n v="109"/>
    <n v="2.508"/>
    <n v="45.2"/>
    <n v="96180"/>
    <n v="5820.1605"/>
    <n v="713"/>
    <n v="240.89599999999999"/>
    <n v="2051154"/>
    <n v="2.92"/>
    <d v="1899-12-30T00:08:02"/>
    <n v="482"/>
    <x v="1"/>
    <x v="0"/>
    <x v="0"/>
    <m/>
    <m/>
    <m/>
    <m/>
    <m/>
    <m/>
    <m/>
    <m/>
    <n v="1"/>
    <m/>
    <n v="15.6"/>
    <n v="14.3"/>
    <n v="11.5"/>
    <m/>
    <n v="1"/>
  </r>
  <r>
    <x v="37"/>
    <x v="3"/>
    <d v="2020-08-06T00:00:00"/>
    <n v="508108"/>
    <n v="4.7850000000000001"/>
    <n v="0"/>
    <n v="4.2919999999999998"/>
    <n v="16.07"/>
    <n v="596337"/>
    <n v="53056.0285"/>
    <n v="3977"/>
    <n v="2549.0630000000001"/>
    <n v="7690732"/>
    <n v="5.4"/>
    <d v="1899-12-30T00:33:13"/>
    <n v="1993"/>
    <x v="3"/>
    <x v="0"/>
    <x v="0"/>
    <n v="1"/>
    <m/>
    <m/>
    <n v="1"/>
    <m/>
    <m/>
    <m/>
    <m/>
    <m/>
    <n v="1"/>
    <n v="9.4"/>
    <n v="19.2"/>
    <n v="16.2"/>
    <m/>
    <m/>
  </r>
  <r>
    <x v="38"/>
    <x v="2"/>
    <d v="2020-08-04T00:00:00"/>
    <n v="2127"/>
    <n v="6.2770000000000001"/>
    <n v="166"/>
    <n v="0.126"/>
    <n v="29.81"/>
    <n v="82144"/>
    <n v="4938.1354000000001"/>
    <n v="205"/>
    <n v="10.362"/>
    <n v="1644191"/>
    <n v="3.3"/>
    <d v="1899-12-30T00:12:06"/>
    <n v="726"/>
    <x v="2"/>
    <x v="0"/>
    <x v="0"/>
    <n v="1"/>
    <n v="1"/>
    <m/>
    <n v="1"/>
    <n v="1"/>
    <m/>
    <m/>
    <n v="1"/>
    <m/>
    <m/>
    <n v="14.4"/>
    <n v="12.9"/>
    <n v="14.1"/>
    <m/>
    <m/>
  </r>
  <r>
    <x v="39"/>
    <x v="2"/>
    <d v="2020-08-02T00:00:00"/>
    <n v="71135"/>
    <n v="3.6110000000000002"/>
    <n v="409"/>
    <n v="1.5569999999999999"/>
    <n v="51.42"/>
    <n v="108837"/>
    <n v="3124.9178000000002"/>
    <n v="-85"/>
    <n v="169.185"/>
    <n v="1352150"/>
    <n v="5.37"/>
    <d v="1899-12-30T00:03:21"/>
    <n v="201"/>
    <x v="1"/>
    <x v="0"/>
    <x v="0"/>
    <n v="1"/>
    <n v="1"/>
    <n v="1"/>
    <m/>
    <m/>
    <m/>
    <m/>
    <m/>
    <m/>
    <m/>
    <n v="11.6"/>
    <n v="16.5"/>
    <n v="15.5"/>
    <m/>
    <m/>
  </r>
  <r>
    <x v="40"/>
    <x v="2"/>
    <d v="2020-07-28T00:00:00"/>
    <n v="145940"/>
    <n v="4.2809999999999997"/>
    <n v="5631"/>
    <n v="0.88900000000000001"/>
    <n v="49.05"/>
    <n v="419826"/>
    <n v="26372.8701"/>
    <n v="3790"/>
    <n v="371.98599999999999"/>
    <n v="5623019"/>
    <n v="4.95"/>
    <d v="1899-12-30T00:07:41"/>
    <n v="461"/>
    <x v="1"/>
    <x v="0"/>
    <x v="0"/>
    <n v="1"/>
    <m/>
    <m/>
    <n v="1"/>
    <n v="1"/>
    <m/>
    <m/>
    <n v="1"/>
    <m/>
    <n v="1"/>
    <n v="16.2"/>
    <n v="13.7"/>
    <n v="11.1"/>
    <m/>
    <m/>
  </r>
  <r>
    <x v="41"/>
    <x v="5"/>
    <d v="2020-07-26T00:00:00"/>
    <n v="92082"/>
    <n v="3.0939999999999999"/>
    <n v="2647"/>
    <n v="1.3"/>
    <n v="46.56"/>
    <n v="139750"/>
    <n v="6054.9306999999999"/>
    <n v="484"/>
    <n v="181.45500000000001"/>
    <n v="1850390"/>
    <n v="5.29"/>
    <d v="1899-12-30T00:05:35"/>
    <n v="335"/>
    <x v="1"/>
    <x v="0"/>
    <x v="0"/>
    <n v="1"/>
    <m/>
    <m/>
    <n v="1"/>
    <n v="1"/>
    <m/>
    <m/>
    <n v="1"/>
    <m/>
    <n v="1"/>
    <n v="12.8"/>
    <n v="15.4"/>
    <n v="13.7"/>
    <m/>
    <m/>
  </r>
  <r>
    <x v="42"/>
    <x v="2"/>
    <d v="2020-07-24T00:00:00"/>
    <n v="302259"/>
    <n v="3.0369999999999999"/>
    <n v="14253"/>
    <n v="1.1839999999999999"/>
    <n v="65.12"/>
    <n v="475952"/>
    <n v="20834.528300000002"/>
    <n v="3037"/>
    <n v="561.49400000000003"/>
    <n v="6099187"/>
    <n v="5.66"/>
    <d v="1899-12-30T00:04:02"/>
    <n v="242"/>
    <x v="1"/>
    <x v="0"/>
    <x v="0"/>
    <n v="1"/>
    <m/>
    <m/>
    <m/>
    <n v="1"/>
    <m/>
    <m/>
    <m/>
    <n v="1"/>
    <n v="1"/>
    <n v="17.899999999999999"/>
    <n v="13.7"/>
    <n v="11.7"/>
    <m/>
    <n v="1"/>
  </r>
  <r>
    <x v="43"/>
    <x v="5"/>
    <d v="2020-07-21T00:00:00"/>
    <n v="40939"/>
    <n v="8.673"/>
    <n v="423"/>
    <n v="1.7050000000000001"/>
    <n v="21.11"/>
    <n v="157710"/>
    <n v="13012.690399999999"/>
    <n v="865"/>
    <n v="268.27199999999999"/>
    <n v="2414480"/>
    <n v="3.95"/>
    <d v="1899-12-30T00:23:27"/>
    <n v="1407"/>
    <x v="3"/>
    <x v="0"/>
    <x v="0"/>
    <m/>
    <m/>
    <m/>
    <m/>
    <m/>
    <m/>
    <m/>
    <n v="1"/>
    <m/>
    <m/>
    <n v="10.9"/>
    <n v="20.100000000000001"/>
    <n v="10.4"/>
    <m/>
    <n v="1"/>
  </r>
  <r>
    <x v="44"/>
    <x v="3"/>
    <d v="2020-07-17T00:00:00"/>
    <n v="202595"/>
    <n v="3.5289999999999999"/>
    <n v="1425"/>
    <n v="1.337"/>
    <n v="37.56"/>
    <n v="349517"/>
    <n v="21549.359100000001"/>
    <n v="2184"/>
    <n v="466.279"/>
    <n v="5593924"/>
    <n v="4.57"/>
    <d v="1899-12-30T00:09:51"/>
    <n v="591"/>
    <x v="1"/>
    <x v="0"/>
    <x v="0"/>
    <n v="1"/>
    <n v="1"/>
    <n v="1"/>
    <m/>
    <n v="1"/>
    <m/>
    <m/>
    <m/>
    <m/>
    <m/>
    <n v="10.5"/>
    <n v="15.9"/>
    <n v="17.8"/>
    <m/>
    <m/>
  </r>
  <r>
    <x v="45"/>
    <x v="1"/>
    <d v="2020-07-14T00:00:00"/>
    <n v="11696"/>
    <n v="6.1619999999999999"/>
    <n v="1676"/>
    <n v="0.35299999999999998"/>
    <n v="43.81"/>
    <n v="137458"/>
    <n v="8530.6239999999998"/>
    <n v="634"/>
    <n v="48.463000000000001"/>
    <n v="2513697"/>
    <n v="3.56"/>
    <d v="1899-12-30T00:08:30"/>
    <n v="510"/>
    <x v="1"/>
    <x v="0"/>
    <x v="0"/>
    <m/>
    <m/>
    <m/>
    <m/>
    <m/>
    <m/>
    <m/>
    <m/>
    <n v="1"/>
    <m/>
    <n v="15.4"/>
    <n v="14.3"/>
    <n v="11.4"/>
    <m/>
    <n v="1"/>
  </r>
  <r>
    <x v="46"/>
    <x v="0"/>
    <d v="2020-07-13T00:00:00"/>
    <n v="53186"/>
    <n v="3.94"/>
    <n v="0"/>
    <n v="4.5330000000000004"/>
    <n v="10.33"/>
    <n v="79787"/>
    <n v="13383.766299999999"/>
    <n v="-75"/>
    <n v="361.26600000000002"/>
    <n v="2417881"/>
    <n v="2.0099999999999998"/>
    <m/>
    <m/>
    <x v="0"/>
    <x v="0"/>
    <x v="0"/>
    <m/>
    <m/>
    <m/>
    <m/>
    <m/>
    <m/>
    <m/>
    <m/>
    <m/>
    <m/>
    <m/>
    <m/>
    <m/>
    <m/>
    <m/>
  </r>
  <r>
    <x v="47"/>
    <x v="0"/>
    <d v="2020-07-12T00:00:00"/>
    <n v="17714"/>
    <n v="3.343"/>
    <n v="0"/>
    <n v="1.454"/>
    <n v="7.14"/>
    <n v="30134"/>
    <n v="3382.3234000000002"/>
    <n v="-81"/>
    <n v="43.819000000000003"/>
    <n v="1844145"/>
    <n v="0.89"/>
    <m/>
    <m/>
    <x v="0"/>
    <x v="0"/>
    <x v="0"/>
    <m/>
    <m/>
    <m/>
    <m/>
    <m/>
    <m/>
    <m/>
    <m/>
    <m/>
    <m/>
    <m/>
    <m/>
    <m/>
    <m/>
    <m/>
  </r>
  <r>
    <x v="48"/>
    <x v="3"/>
    <d v="2020-07-12T00:00:00"/>
    <n v="294237"/>
    <n v="5.1619999999999999"/>
    <n v="2001"/>
    <n v="3.2330000000000001"/>
    <n v="25.09"/>
    <n v="350545"/>
    <n v="22990.2644"/>
    <n v="1325"/>
    <n v="1130.1980000000001"/>
    <n v="3309708"/>
    <n v="7.53"/>
    <d v="1899-12-30T00:15:41"/>
    <n v="941"/>
    <x v="2"/>
    <x v="0"/>
    <x v="0"/>
    <n v="1"/>
    <m/>
    <m/>
    <n v="1"/>
    <n v="1"/>
    <m/>
    <m/>
    <n v="1"/>
    <m/>
    <n v="1"/>
    <n v="12.7"/>
    <n v="17"/>
    <n v="12.7"/>
    <m/>
    <m/>
  </r>
  <r>
    <x v="49"/>
    <x v="0"/>
    <d v="2020-07-09T00:00:00"/>
    <n v="15947"/>
    <n v="3.0630000000000002"/>
    <n v="0"/>
    <n v="1.2889999999999999"/>
    <n v="7.82"/>
    <n v="28975"/>
    <n v="4445.7091"/>
    <n v="-40"/>
    <n v="37.338000000000001"/>
    <n v="1752924"/>
    <n v="0.95"/>
    <m/>
    <m/>
    <x v="0"/>
    <x v="0"/>
    <x v="0"/>
    <m/>
    <m/>
    <m/>
    <m/>
    <m/>
    <m/>
    <m/>
    <m/>
    <m/>
    <m/>
    <m/>
    <m/>
    <m/>
    <m/>
    <m/>
  </r>
  <r>
    <x v="50"/>
    <x v="0"/>
    <d v="2020-07-09T00:00:00"/>
    <n v="59053"/>
    <n v="2.4329999999999998"/>
    <n v="0"/>
    <n v="1.177"/>
    <n v="5.08"/>
    <n v="86795"/>
    <n v="9035.1654999999992"/>
    <n v="0"/>
    <n v="102.166"/>
    <n v="2198078"/>
    <n v="2.66"/>
    <m/>
    <m/>
    <x v="0"/>
    <x v="0"/>
    <x v="0"/>
    <m/>
    <m/>
    <m/>
    <m/>
    <m/>
    <m/>
    <m/>
    <m/>
    <m/>
    <m/>
    <m/>
    <m/>
    <m/>
    <m/>
    <m/>
  </r>
  <r>
    <x v="51"/>
    <x v="6"/>
    <d v="2020-07-07T00:00:00"/>
    <n v="0"/>
    <m/>
    <n v="0"/>
    <m/>
    <m/>
    <n v="0"/>
    <n v="0"/>
    <n v="1"/>
    <n v="0"/>
    <n v="0"/>
    <m/>
    <m/>
    <m/>
    <x v="0"/>
    <x v="0"/>
    <x v="1"/>
    <m/>
    <m/>
    <m/>
    <m/>
    <m/>
    <m/>
    <m/>
    <m/>
    <m/>
    <m/>
    <m/>
    <m/>
    <m/>
    <m/>
    <m/>
  </r>
  <r>
    <x v="52"/>
    <x v="5"/>
    <d v="2020-07-07T00:00:00"/>
    <n v="50107"/>
    <n v="7.5940000000000003"/>
    <n v="1610"/>
    <n v="1.5049999999999999"/>
    <n v="26.78"/>
    <n v="209244"/>
    <n v="15068.384899999999"/>
    <n v="1214"/>
    <n v="313.87799999999999"/>
    <n v="2969845"/>
    <n v="4.5599999999999996"/>
    <d v="1899-12-30T00:16:08"/>
    <n v="968"/>
    <x v="2"/>
    <x v="0"/>
    <x v="0"/>
    <m/>
    <m/>
    <m/>
    <m/>
    <m/>
    <m/>
    <m/>
    <n v="1"/>
    <m/>
    <m/>
    <n v="10"/>
    <n v="17.600000000000001"/>
    <n v="11.1"/>
    <m/>
    <m/>
  </r>
  <r>
    <x v="53"/>
    <x v="2"/>
    <d v="2020-07-06T00:00:00"/>
    <n v="73936"/>
    <n v="3.0630000000000002"/>
    <n v="966"/>
    <n v="1.488"/>
    <n v="46.33"/>
    <n v="95651"/>
    <n v="5982.3324000000002"/>
    <n v="364"/>
    <n v="142.238"/>
    <n v="1828866"/>
    <n v="3.52"/>
    <d v="1899-12-30T00:08:06"/>
    <n v="486"/>
    <x v="1"/>
    <x v="0"/>
    <x v="0"/>
    <m/>
    <m/>
    <m/>
    <n v="1"/>
    <m/>
    <m/>
    <m/>
    <m/>
    <m/>
    <m/>
    <n v="14.7"/>
    <n v="12.6"/>
    <n v="12.9"/>
    <m/>
    <n v="1"/>
  </r>
  <r>
    <x v="54"/>
    <x v="0"/>
    <d v="2020-07-06T00:00:00"/>
    <n v="95134"/>
    <n v="2.1920000000000002"/>
    <n v="0"/>
    <n v="1.2390000000000001"/>
    <n v="6.43"/>
    <n v="122612"/>
    <n v="13595.927600000001"/>
    <n v="332"/>
    <n v="151.89099999999999"/>
    <n v="3296466"/>
    <n v="2.44"/>
    <m/>
    <m/>
    <x v="0"/>
    <x v="0"/>
    <x v="0"/>
    <m/>
    <m/>
    <m/>
    <m/>
    <m/>
    <m/>
    <m/>
    <m/>
    <m/>
    <m/>
    <m/>
    <m/>
    <m/>
    <m/>
    <m/>
  </r>
  <r>
    <x v="55"/>
    <x v="3"/>
    <d v="2020-07-03T00:00:00"/>
    <n v="527581"/>
    <n v="3.8069999999999999"/>
    <n v="0"/>
    <n v="2.13"/>
    <n v="22.92"/>
    <n v="637834"/>
    <n v="81229.48"/>
    <n v="4529"/>
    <n v="1357.059"/>
    <n v="10557253"/>
    <n v="4.41"/>
    <d v="1899-12-30T00:33:20"/>
    <n v="2000"/>
    <x v="3"/>
    <x v="0"/>
    <x v="0"/>
    <n v="1"/>
    <m/>
    <m/>
    <m/>
    <n v="1"/>
    <m/>
    <m/>
    <m/>
    <m/>
    <n v="1"/>
    <n v="8.8000000000000007"/>
    <n v="21.1"/>
    <n v="19.399999999999999"/>
    <n v="1"/>
    <m/>
  </r>
  <r>
    <x v="56"/>
    <x v="1"/>
    <d v="2020-07-01T00:00:00"/>
    <n v="52261"/>
    <n v="4.9610000000000003"/>
    <n v="1842"/>
    <n v="0.63200000000000001"/>
    <n v="39.14"/>
    <n v="281319"/>
    <n v="23030.411199999999"/>
    <n v="3497"/>
    <n v="177.51300000000001"/>
    <n v="4419105"/>
    <n v="3.93"/>
    <d v="1899-12-30T00:12:33"/>
    <n v="753"/>
    <x v="2"/>
    <x v="0"/>
    <x v="0"/>
    <m/>
    <m/>
    <m/>
    <m/>
    <m/>
    <m/>
    <m/>
    <m/>
    <n v="1"/>
    <m/>
    <n v="15.1"/>
    <n v="15.6"/>
    <n v="10"/>
    <m/>
    <n v="1"/>
  </r>
  <r>
    <x v="57"/>
    <x v="2"/>
    <d v="2020-06-28T00:00:00"/>
    <n v="11508"/>
    <n v="7.6680000000000001"/>
    <n v="710"/>
    <n v="0.5"/>
    <n v="40.49"/>
    <n v="134740"/>
    <n v="7955.6754000000001"/>
    <n v="559"/>
    <n v="67.281000000000006"/>
    <n v="2085098"/>
    <n v="4.37"/>
    <d v="1899-12-30T00:08:45"/>
    <n v="525"/>
    <x v="1"/>
    <x v="0"/>
    <x v="0"/>
    <n v="1"/>
    <n v="1"/>
    <m/>
    <m/>
    <n v="1"/>
    <m/>
    <m/>
    <n v="1"/>
    <m/>
    <m/>
    <n v="13.9"/>
    <n v="14.5"/>
    <n v="12.4"/>
    <m/>
    <m/>
  </r>
  <r>
    <x v="58"/>
    <x v="1"/>
    <d v="2020-06-23T00:00:00"/>
    <n v="132526"/>
    <n v="5.7679999999999998"/>
    <n v="1955"/>
    <n v="1.2909999999999999"/>
    <n v="33.659999999999997"/>
    <n v="409343"/>
    <n v="29279.0815"/>
    <n v="4767"/>
    <n v="526.55499999999995"/>
    <n v="6096749"/>
    <n v="4.01"/>
    <d v="1899-12-30T00:12:45"/>
    <n v="765"/>
    <x v="2"/>
    <x v="0"/>
    <x v="0"/>
    <m/>
    <m/>
    <m/>
    <m/>
    <m/>
    <m/>
    <m/>
    <n v="1"/>
    <n v="1"/>
    <m/>
    <n v="17.5"/>
    <n v="15.9"/>
    <n v="8.3000000000000007"/>
    <m/>
    <n v="1"/>
  </r>
  <r>
    <x v="59"/>
    <x v="3"/>
    <d v="2020-06-21T00:00:00"/>
    <n v="86844"/>
    <n v="4.2030000000000003"/>
    <n v="536"/>
    <n v="2.42"/>
    <n v="46.4"/>
    <n v="117941"/>
    <n v="11264.5571"/>
    <n v="182"/>
    <n v="285.16899999999998"/>
    <n v="2391634"/>
    <n v="3.41"/>
    <d v="1899-12-30T00:12:21"/>
    <n v="741"/>
    <x v="2"/>
    <x v="0"/>
    <x v="0"/>
    <n v="1"/>
    <m/>
    <m/>
    <n v="1"/>
    <m/>
    <m/>
    <m/>
    <n v="1"/>
    <m/>
    <n v="1"/>
    <n v="12.7"/>
    <n v="12.3"/>
    <n v="16.7"/>
    <m/>
    <m/>
  </r>
  <r>
    <x v="60"/>
    <x v="2"/>
    <d v="2020-06-17T00:00:00"/>
    <n v="12585"/>
    <n v="5.5410000000000004"/>
    <n v="4104"/>
    <n v="0.28899999999999998"/>
    <n v="52.63"/>
    <n v="156837"/>
    <n v="6947.3292000000001"/>
    <n v="533"/>
    <n v="45.317999999999998"/>
    <n v="2023992"/>
    <n v="5.0999999999999996"/>
    <d v="1899-12-30T00:05:03"/>
    <n v="303"/>
    <x v="1"/>
    <x v="0"/>
    <x v="0"/>
    <m/>
    <m/>
    <m/>
    <m/>
    <m/>
    <m/>
    <m/>
    <n v="1"/>
    <m/>
    <m/>
    <n v="12.4"/>
    <n v="14.7"/>
    <n v="12.8"/>
    <m/>
    <m/>
  </r>
  <r>
    <x v="61"/>
    <x v="0"/>
    <d v="2020-06-15T00:00:00"/>
    <n v="24612"/>
    <n v="2.6560000000000001"/>
    <n v="0"/>
    <n v="0.93300000000000005"/>
    <n v="5.35"/>
    <n v="53906"/>
    <n v="5411.7736000000004"/>
    <n v="-42"/>
    <n v="50.311"/>
    <n v="1706684"/>
    <n v="1.96"/>
    <m/>
    <m/>
    <x v="0"/>
    <x v="0"/>
    <x v="0"/>
    <m/>
    <m/>
    <m/>
    <m/>
    <m/>
    <m/>
    <m/>
    <m/>
    <m/>
    <m/>
    <m/>
    <m/>
    <m/>
    <m/>
    <m/>
  </r>
  <r>
    <x v="62"/>
    <x v="0"/>
    <d v="2020-06-14T00:00:00"/>
    <n v="12936"/>
    <n v="2.718"/>
    <n v="0"/>
    <n v="1.0189999999999999"/>
    <n v="6.64"/>
    <n v="24387"/>
    <n v="2446.3510000000001"/>
    <n v="-81"/>
    <n v="24.846"/>
    <n v="1482847"/>
    <n v="0.89"/>
    <m/>
    <m/>
    <x v="0"/>
    <x v="0"/>
    <x v="0"/>
    <m/>
    <m/>
    <m/>
    <m/>
    <m/>
    <m/>
    <m/>
    <m/>
    <m/>
    <m/>
    <m/>
    <m/>
    <m/>
    <m/>
    <m/>
  </r>
  <r>
    <x v="63"/>
    <x v="1"/>
    <d v="2020-06-14T00:00:00"/>
    <n v="163158"/>
    <n v="2.7469999999999999"/>
    <n v="10305"/>
    <n v="1.1160000000000001"/>
    <n v="47.62"/>
    <n v="249641"/>
    <n v="11491.967500000001"/>
    <n v="4041"/>
    <n v="278.52800000000002"/>
    <n v="4042819"/>
    <n v="4.29"/>
    <d v="1899-12-30T00:05:48"/>
    <n v="348"/>
    <x v="1"/>
    <x v="0"/>
    <x v="0"/>
    <m/>
    <m/>
    <m/>
    <m/>
    <m/>
    <m/>
    <m/>
    <n v="1"/>
    <n v="1"/>
    <m/>
    <n v="16.399999999999999"/>
    <n v="13.7"/>
    <n v="9.6"/>
    <m/>
    <n v="1"/>
  </r>
  <r>
    <x v="64"/>
    <x v="3"/>
    <d v="2020-06-12T00:00:00"/>
    <n v="194847"/>
    <n v="3.153"/>
    <n v="205"/>
    <n v="1.4850000000000001"/>
    <n v="20"/>
    <n v="271147"/>
    <n v="27558.770700000001"/>
    <n v="297"/>
    <n v="401.71100000000001"/>
    <n v="5320425"/>
    <n v="3.7"/>
    <d v="1899-12-30T00:30:29"/>
    <n v="1829"/>
    <x v="3"/>
    <x v="0"/>
    <x v="0"/>
    <n v="1"/>
    <m/>
    <n v="1"/>
    <m/>
    <n v="1"/>
    <m/>
    <n v="1"/>
    <m/>
    <m/>
    <n v="1"/>
    <n v="16.7"/>
    <n v="12.7"/>
    <n v="17.399999999999999"/>
    <m/>
    <m/>
  </r>
  <r>
    <x v="65"/>
    <x v="2"/>
    <d v="2020-06-10T00:00:00"/>
    <n v="15072"/>
    <n v="4.4610000000000003"/>
    <n v="1020"/>
    <n v="0.39800000000000002"/>
    <n v="51.29"/>
    <n v="129160"/>
    <n v="8850.8392000000003"/>
    <n v="233"/>
    <n v="51.345999999999997"/>
    <n v="2598951"/>
    <n v="3.5"/>
    <d v="1899-12-30T00:08:01"/>
    <n v="481"/>
    <x v="1"/>
    <x v="0"/>
    <x v="0"/>
    <n v="1"/>
    <n v="1"/>
    <n v="1"/>
    <n v="1"/>
    <m/>
    <m/>
    <m/>
    <m/>
    <n v="1"/>
    <m/>
    <n v="13.1"/>
    <n v="12.3"/>
    <n v="14.2"/>
    <m/>
    <m/>
  </r>
  <r>
    <x v="66"/>
    <x v="5"/>
    <d v="2020-06-07T00:00:00"/>
    <n v="222634"/>
    <n v="4.38"/>
    <n v="1902"/>
    <n v="1.9870000000000001"/>
    <n v="26.52"/>
    <n v="344968"/>
    <n v="20941.7631"/>
    <n v="1818"/>
    <n v="682.64599999999996"/>
    <n v="5249394"/>
    <n v="4.82"/>
    <d v="1899-12-30T00:13:44"/>
    <n v="824"/>
    <x v="2"/>
    <x v="0"/>
    <x v="0"/>
    <m/>
    <m/>
    <m/>
    <m/>
    <m/>
    <m/>
    <m/>
    <n v="1"/>
    <m/>
    <m/>
    <n v="12.5"/>
    <n v="22.3"/>
    <n v="9.8000000000000007"/>
    <m/>
    <n v="1"/>
  </r>
  <r>
    <x v="67"/>
    <x v="0"/>
    <d v="2020-06-06T00:00:00"/>
    <n v="24078"/>
    <n v="3.8159999999999998"/>
    <n v="0"/>
    <n v="1.6910000000000001"/>
    <n v="7.25"/>
    <n v="43400"/>
    <n v="6372.8122000000003"/>
    <n v="-41"/>
    <n v="73.400000000000006"/>
    <n v="1666600"/>
    <n v="1.53"/>
    <m/>
    <m/>
    <x v="0"/>
    <x v="0"/>
    <x v="0"/>
    <m/>
    <m/>
    <m/>
    <m/>
    <m/>
    <m/>
    <m/>
    <m/>
    <m/>
    <m/>
    <m/>
    <m/>
    <m/>
    <m/>
    <m/>
  </r>
  <r>
    <x v="68"/>
    <x v="3"/>
    <d v="2020-06-05T00:00:00"/>
    <n v="0"/>
    <m/>
    <n v="0"/>
    <n v="0"/>
    <n v="34.31"/>
    <n v="128585"/>
    <n v="11995.855299999999"/>
    <n v="418"/>
    <n v="0"/>
    <n v="2765841"/>
    <n v="3.34"/>
    <d v="1899-12-30T00:16:19"/>
    <n v="979"/>
    <x v="2"/>
    <x v="0"/>
    <x v="0"/>
    <n v="1"/>
    <m/>
    <m/>
    <m/>
    <n v="1"/>
    <m/>
    <m/>
    <m/>
    <m/>
    <n v="1"/>
    <n v="7.7"/>
    <n v="15.9"/>
    <n v="22.3"/>
    <m/>
    <m/>
  </r>
  <r>
    <x v="69"/>
    <x v="5"/>
    <d v="2020-06-03T00:00:00"/>
    <n v="155532"/>
    <n v="6.5190000000000001"/>
    <n v="6326"/>
    <n v="1.9019999999999999"/>
    <n v="40.25"/>
    <n v="414135"/>
    <n v="34402.739500000003"/>
    <n v="2712"/>
    <n v="785.93399999999997"/>
    <n v="6648001"/>
    <n v="4.29"/>
    <d v="1899-12-30T00:12:23"/>
    <n v="743"/>
    <x v="2"/>
    <x v="0"/>
    <x v="0"/>
    <m/>
    <m/>
    <m/>
    <n v="1"/>
    <m/>
    <m/>
    <m/>
    <n v="1"/>
    <m/>
    <m/>
    <n v="13.3"/>
    <n v="15.8"/>
    <n v="11.2"/>
    <m/>
    <n v="1"/>
  </r>
  <r>
    <x v="70"/>
    <x v="0"/>
    <d v="2020-05-31T00:00:00"/>
    <n v="19052"/>
    <n v="3.8610000000000002"/>
    <n v="0"/>
    <n v="1.7529999999999999"/>
    <n v="5.38"/>
    <n v="34246"/>
    <n v="3816.5776999999998"/>
    <n v="-37"/>
    <n v="60.018999999999998"/>
    <n v="1378562"/>
    <n v="1.48"/>
    <m/>
    <m/>
    <x v="0"/>
    <x v="0"/>
    <x v="0"/>
    <m/>
    <m/>
    <m/>
    <m/>
    <m/>
    <m/>
    <m/>
    <m/>
    <m/>
    <m/>
    <m/>
    <m/>
    <m/>
    <m/>
    <m/>
  </r>
  <r>
    <x v="71"/>
    <x v="5"/>
    <d v="2020-05-29T00:00:00"/>
    <n v="33563"/>
    <n v="4.8410000000000002"/>
    <n v="541"/>
    <n v="0.81100000000000005"/>
    <n v="42.67"/>
    <n v="122871"/>
    <n v="3247.4740999999999"/>
    <n v="416"/>
    <n v="99.378"/>
    <n v="1680632"/>
    <n v="5.28"/>
    <d v="1899-12-30T00:03:43"/>
    <n v="223"/>
    <x v="1"/>
    <x v="0"/>
    <x v="0"/>
    <m/>
    <m/>
    <m/>
    <m/>
    <m/>
    <m/>
    <m/>
    <n v="1"/>
    <m/>
    <m/>
    <n v="12.2"/>
    <n v="11.9"/>
    <n v="11.3"/>
    <m/>
    <n v="1"/>
  </r>
  <r>
    <x v="72"/>
    <x v="0"/>
    <d v="2020-05-26T00:00:00"/>
    <n v="18913"/>
    <n v="3.6349999999999998"/>
    <n v="0"/>
    <n v="1.681"/>
    <n v="8.6300000000000008"/>
    <n v="33867"/>
    <n v="5225.1403"/>
    <n v="-18"/>
    <n v="56.930999999999997"/>
    <n v="1848192"/>
    <n v="1.03"/>
    <m/>
    <m/>
    <x v="0"/>
    <x v="0"/>
    <x v="0"/>
    <m/>
    <m/>
    <m/>
    <m/>
    <m/>
    <m/>
    <m/>
    <m/>
    <m/>
    <m/>
    <m/>
    <m/>
    <m/>
    <m/>
    <m/>
  </r>
  <r>
    <x v="73"/>
    <x v="3"/>
    <d v="2020-05-26T00:00:00"/>
    <n v="37743"/>
    <n v="3.2879999999999998"/>
    <n v="2093"/>
    <n v="0.35599999999999998"/>
    <n v="53.53"/>
    <n v="218190"/>
    <n v="11192.2546"/>
    <n v="653"/>
    <n v="77.625"/>
    <n v="3329077"/>
    <n v="4.7300000000000004"/>
    <d v="1899-12-30T00:05:45"/>
    <n v="345"/>
    <x v="1"/>
    <x v="0"/>
    <x v="0"/>
    <n v="1"/>
    <n v="1"/>
    <n v="1"/>
    <m/>
    <m/>
    <m/>
    <m/>
    <n v="1"/>
    <m/>
    <m/>
    <n v="14"/>
    <n v="11.6"/>
    <n v="16.100000000000001"/>
    <m/>
    <m/>
  </r>
  <r>
    <x v="74"/>
    <x v="2"/>
    <d v="2020-05-19T00:00:00"/>
    <n v="289485"/>
    <n v="9.0630000000000006"/>
    <n v="7093"/>
    <n v="2.4940000000000002"/>
    <n v="33.880000000000003"/>
    <n v="651441"/>
    <n v="67817.406600000002"/>
    <n v="11533"/>
    <n v="1620.1379999999999"/>
    <n v="16786115"/>
    <n v="2.5099999999999998"/>
    <d v="1899-12-30T00:18:26"/>
    <n v="1106"/>
    <x v="2"/>
    <x v="0"/>
    <x v="0"/>
    <n v="1"/>
    <m/>
    <m/>
    <n v="1"/>
    <n v="1"/>
    <m/>
    <m/>
    <n v="1"/>
    <m/>
    <n v="1"/>
    <n v="12.9"/>
    <n v="15.4"/>
    <n v="14.8"/>
    <m/>
    <m/>
  </r>
  <r>
    <x v="75"/>
    <x v="0"/>
    <d v="2020-05-17T00:00:00"/>
    <n v="49230"/>
    <n v="5.2439999999999998"/>
    <n v="0"/>
    <n v="2.54"/>
    <n v="5.98"/>
    <n v="80783"/>
    <n v="8699.6149999999998"/>
    <n v="48"/>
    <n v="205.10499999999999"/>
    <n v="2429774"/>
    <n v="2"/>
    <m/>
    <m/>
    <x v="0"/>
    <x v="0"/>
    <x v="0"/>
    <m/>
    <m/>
    <m/>
    <m/>
    <m/>
    <m/>
    <m/>
    <m/>
    <m/>
    <m/>
    <m/>
    <m/>
    <m/>
    <m/>
    <m/>
  </r>
  <r>
    <x v="76"/>
    <x v="3"/>
    <d v="2020-05-17T00:00:00"/>
    <n v="155345"/>
    <n v="3.7570000000000001"/>
    <n v="3612"/>
    <n v="1.7330000000000001"/>
    <n v="54.59"/>
    <n v="225052"/>
    <n v="15390.7019"/>
    <n v="609"/>
    <n v="389.43200000000002"/>
    <n v="4558415"/>
    <n v="3.58"/>
    <d v="1899-12-30T00:07:31"/>
    <n v="451"/>
    <x v="1"/>
    <x v="0"/>
    <x v="0"/>
    <n v="1"/>
    <m/>
    <m/>
    <n v="1"/>
    <n v="1"/>
    <m/>
    <m/>
    <m/>
    <m/>
    <n v="1"/>
    <n v="15.7"/>
    <n v="11.7"/>
    <n v="17.100000000000001"/>
    <m/>
    <m/>
  </r>
  <r>
    <x v="77"/>
    <x v="5"/>
    <d v="2020-05-15T00:00:00"/>
    <n v="201567"/>
    <n v="3.29"/>
    <n v="2740"/>
    <n v="1.3759999999999999"/>
    <n v="32.409999999999997"/>
    <n v="326135"/>
    <n v="22551.694100000001"/>
    <n v="649"/>
    <n v="448.04399999999998"/>
    <n v="4279246"/>
    <n v="5.62"/>
    <d v="1899-12-30T00:12:48"/>
    <n v="768"/>
    <x v="2"/>
    <x v="0"/>
    <x v="0"/>
    <m/>
    <m/>
    <m/>
    <m/>
    <m/>
    <m/>
    <m/>
    <n v="1"/>
    <m/>
    <m/>
    <n v="14.2"/>
    <n v="15.5"/>
    <n v="10.6"/>
    <m/>
    <n v="1"/>
  </r>
  <r>
    <x v="78"/>
    <x v="3"/>
    <d v="2020-05-12T00:00:00"/>
    <n v="12611"/>
    <n v="3.3610000000000002"/>
    <n v="2027"/>
    <n v="0.20399999999999999"/>
    <n v="42.14"/>
    <n v="149002"/>
    <n v="8519.0838000000003"/>
    <n v="178"/>
    <n v="30.327999999999999"/>
    <n v="2699324"/>
    <n v="3.14"/>
    <d v="1899-12-30T00:08:09"/>
    <n v="489"/>
    <x v="1"/>
    <x v="0"/>
    <x v="0"/>
    <n v="1"/>
    <m/>
    <n v="1"/>
    <m/>
    <m/>
    <m/>
    <m/>
    <n v="1"/>
    <m/>
    <m/>
    <n v="12.9"/>
    <n v="11.7"/>
    <n v="14.4"/>
    <m/>
    <m/>
  </r>
  <r>
    <x v="79"/>
    <x v="0"/>
    <d v="2020-05-10T00:00:00"/>
    <n v="33544"/>
    <n v="4.4320000000000004"/>
    <n v="0"/>
    <n v="2.2749999999999999"/>
    <n v="10.54"/>
    <n v="58520"/>
    <n v="11519.936600000001"/>
    <n v="32"/>
    <n v="133.10599999999999"/>
    <n v="1973955"/>
    <n v="1.68"/>
    <m/>
    <m/>
    <x v="0"/>
    <x v="0"/>
    <x v="0"/>
    <m/>
    <m/>
    <m/>
    <m/>
    <m/>
    <m/>
    <m/>
    <m/>
    <m/>
    <m/>
    <m/>
    <m/>
    <m/>
    <m/>
    <m/>
  </r>
  <r>
    <x v="80"/>
    <x v="1"/>
    <d v="2020-05-10T00:00:00"/>
    <n v="540988"/>
    <n v="5.4370000000000003"/>
    <n v="12309"/>
    <n v="2.7269999999999999"/>
    <n v="40.53"/>
    <n v="729333"/>
    <n v="55184.630599999997"/>
    <n v="18142"/>
    <n v="1983.8489999999999"/>
    <n v="14166685"/>
    <n v="3.04"/>
    <d v="1899-12-30T00:11:12"/>
    <n v="672"/>
    <x v="2"/>
    <x v="0"/>
    <x v="0"/>
    <m/>
    <m/>
    <m/>
    <m/>
    <m/>
    <m/>
    <m/>
    <m/>
    <n v="1"/>
    <m/>
    <n v="18.899999999999999"/>
    <n v="14.8"/>
    <n v="8.1"/>
    <m/>
    <n v="1"/>
  </r>
  <r>
    <x v="81"/>
    <x v="5"/>
    <d v="2020-05-05T00:00:00"/>
    <n v="193666"/>
    <n v="5.641"/>
    <n v="1819"/>
    <n v="1.425"/>
    <n v="28.68"/>
    <n v="552924"/>
    <n v="59024.064400000003"/>
    <n v="6340"/>
    <n v="786.36400000000003"/>
    <n v="12864887"/>
    <n v="2.99"/>
    <d v="1899-12-30T00:22:20"/>
    <n v="1340"/>
    <x v="3"/>
    <x v="0"/>
    <x v="0"/>
    <n v="1"/>
    <m/>
    <n v="1"/>
    <m/>
    <m/>
    <m/>
    <m/>
    <n v="1"/>
    <m/>
    <n v="1"/>
    <n v="7.6"/>
    <n v="23"/>
    <n v="11.5"/>
    <n v="1"/>
    <m/>
  </r>
  <r>
    <x v="82"/>
    <x v="3"/>
    <d v="2020-05-01T00:00:00"/>
    <n v="742626"/>
    <n v="5.3230000000000004"/>
    <n v="27443"/>
    <n v="1.7250000000000001"/>
    <n v="21.54"/>
    <n v="1774151"/>
    <n v="198187.927"/>
    <n v="36052"/>
    <n v="3054.058"/>
    <n v="34976921"/>
    <n v="3.67"/>
    <d v="1899-12-30T00:31:07"/>
    <n v="1867"/>
    <x v="3"/>
    <x v="0"/>
    <x v="0"/>
    <n v="1"/>
    <m/>
    <m/>
    <m/>
    <n v="1"/>
    <m/>
    <m/>
    <m/>
    <m/>
    <n v="1"/>
    <n v="7.5"/>
    <n v="20.100000000000001"/>
    <n v="20.7"/>
    <m/>
    <m/>
  </r>
  <r>
    <x v="83"/>
    <x v="0"/>
    <d v="2020-04-29T00:00:00"/>
    <n v="28381"/>
    <n v="4.077"/>
    <n v="0"/>
    <n v="2.0209999999999999"/>
    <n v="10.16"/>
    <n v="57874"/>
    <n v="11527.7389"/>
    <n v="60"/>
    <n v="116.93300000000001"/>
    <n v="2512544"/>
    <n v="1.4"/>
    <m/>
    <m/>
    <x v="0"/>
    <x v="0"/>
    <x v="0"/>
    <m/>
    <m/>
    <m/>
    <m/>
    <m/>
    <m/>
    <m/>
    <m/>
    <m/>
    <m/>
    <m/>
    <m/>
    <m/>
    <m/>
    <m/>
  </r>
  <r>
    <x v="84"/>
    <x v="4"/>
    <d v="2020-04-28T00:00:00"/>
    <n v="205714"/>
    <n v="4.4089999999999998"/>
    <n v="0"/>
    <n v="2.4900000000000002"/>
    <n v="13.11"/>
    <n v="486986"/>
    <n v="222472.4957"/>
    <n v="1862"/>
    <n v="1207.9760000000001"/>
    <n v="8675786"/>
    <n v="3.7"/>
    <d v="1899-12-30T03:29:08"/>
    <n v="1748"/>
    <x v="3"/>
    <x v="0"/>
    <x v="0"/>
    <m/>
    <m/>
    <n v="1"/>
    <m/>
    <m/>
    <n v="1"/>
    <m/>
    <n v="1"/>
    <m/>
    <m/>
    <n v="12.7"/>
    <n v="15.1"/>
    <n v="10.7"/>
    <m/>
    <m/>
  </r>
  <r>
    <x v="85"/>
    <x v="1"/>
    <d v="2020-04-26T00:00:00"/>
    <n v="455168"/>
    <n v="5.0529999999999999"/>
    <n v="8631"/>
    <n v="2.2250000000000001"/>
    <n v="41.45"/>
    <n v="708806"/>
    <n v="61379.092600000004"/>
    <n v="15701"/>
    <n v="1574.251"/>
    <n v="17443621"/>
    <n v="2.68"/>
    <d v="1899-12-30T00:12:32"/>
    <n v="752"/>
    <x v="2"/>
    <x v="0"/>
    <x v="0"/>
    <m/>
    <m/>
    <m/>
    <m/>
    <m/>
    <m/>
    <m/>
    <m/>
    <n v="1"/>
    <m/>
    <n v="14"/>
    <n v="15.5"/>
    <n v="9.6"/>
    <m/>
    <n v="1"/>
  </r>
  <r>
    <x v="86"/>
    <x v="5"/>
    <d v="2020-04-23T00:00:00"/>
    <n v="226994"/>
    <n v="4.05"/>
    <n v="8394"/>
    <n v="1.7130000000000001"/>
    <n v="43.51"/>
    <n v="370379"/>
    <n v="27890.781800000001"/>
    <n v="2030"/>
    <n v="633.65899999999999"/>
    <n v="7056226"/>
    <n v="3.71"/>
    <d v="1899-12-30T00:10:23"/>
    <n v="623"/>
    <x v="2"/>
    <x v="0"/>
    <x v="0"/>
    <m/>
    <m/>
    <m/>
    <m/>
    <m/>
    <n v="1"/>
    <m/>
    <n v="1"/>
    <m/>
    <m/>
    <n v="7.9"/>
    <n v="23.1"/>
    <n v="10.8"/>
    <m/>
    <m/>
  </r>
  <r>
    <x v="87"/>
    <x v="5"/>
    <d v="2020-04-20T00:00:00"/>
    <n v="236707"/>
    <n v="4.2729999999999997"/>
    <n v="8964"/>
    <n v="1.851"/>
    <n v="39.549999999999997"/>
    <n v="360779"/>
    <n v="20652.270100000002"/>
    <n v="1618"/>
    <n v="666.32899999999995"/>
    <n v="5425597"/>
    <n v="4.6399999999999997"/>
    <d v="1899-12-30T00:08:41"/>
    <n v="521"/>
    <x v="1"/>
    <x v="0"/>
    <x v="0"/>
    <m/>
    <m/>
    <m/>
    <m/>
    <m/>
    <m/>
    <m/>
    <n v="1"/>
    <m/>
    <m/>
    <n v="14"/>
    <n v="19.5"/>
    <n v="9.5"/>
    <m/>
    <n v="1"/>
  </r>
  <r>
    <x v="88"/>
    <x v="3"/>
    <d v="2020-04-19T00:00:00"/>
    <n v="110877"/>
    <n v="3.5539999999999998"/>
    <n v="3275"/>
    <n v="1.37"/>
    <n v="43.46"/>
    <n v="190789"/>
    <n v="13703.4012"/>
    <n v="525"/>
    <n v="261.03500000000003"/>
    <n v="3602948"/>
    <n v="3.9"/>
    <d v="1899-12-30T00:09:55"/>
    <n v="595"/>
    <x v="1"/>
    <x v="0"/>
    <x v="0"/>
    <m/>
    <m/>
    <n v="1"/>
    <n v="1"/>
    <m/>
    <n v="1"/>
    <m/>
    <m/>
    <m/>
    <m/>
    <n v="13.4"/>
    <n v="14"/>
    <n v="13.2"/>
    <m/>
    <n v="1"/>
  </r>
  <r>
    <x v="89"/>
    <x v="3"/>
    <d v="2020-04-17T00:00:00"/>
    <n v="57193"/>
    <n v="3.581"/>
    <n v="256"/>
    <n v="1.456"/>
    <n v="27.23"/>
    <n v="94128"/>
    <n v="11441.037899999999"/>
    <n v="681"/>
    <n v="137.03899999999999"/>
    <n v="2708395"/>
    <n v="2.58"/>
    <d v="1899-12-30T00:26:47"/>
    <n v="1607"/>
    <x v="3"/>
    <x v="0"/>
    <x v="0"/>
    <n v="1"/>
    <n v="1"/>
    <m/>
    <m/>
    <n v="1"/>
    <n v="1"/>
    <m/>
    <m/>
    <m/>
    <m/>
    <n v="7.4"/>
    <n v="12.8"/>
    <n v="18"/>
    <m/>
    <m/>
  </r>
  <r>
    <x v="90"/>
    <x v="4"/>
    <d v="2020-04-14T00:00:00"/>
    <n v="26849"/>
    <n v="2.7330000000000001"/>
    <n v="1949"/>
    <n v="0.27200000000000002"/>
    <n v="38.4"/>
    <n v="168142"/>
    <n v="10939.7377"/>
    <n v="323"/>
    <n v="45.713000000000001"/>
    <n v="2915626"/>
    <n v="4.1100000000000003"/>
    <d v="1899-12-30T00:10:10"/>
    <n v="610"/>
    <x v="2"/>
    <x v="0"/>
    <x v="0"/>
    <n v="1"/>
    <m/>
    <n v="1"/>
    <m/>
    <m/>
    <n v="1"/>
    <m/>
    <n v="1"/>
    <m/>
    <m/>
    <n v="11.3"/>
    <n v="12.8"/>
    <n v="14.9"/>
    <m/>
    <m/>
  </r>
  <r>
    <x v="91"/>
    <x v="6"/>
    <d v="2020-04-12T00:00:00"/>
    <n v="104721"/>
    <n v="5.7119999999999997"/>
    <n v="0"/>
    <n v="3.3130000000000002"/>
    <n v="10.42"/>
    <n v="172017"/>
    <n v="25941.5893"/>
    <n v="409"/>
    <n v="569.82500000000005"/>
    <n v="3258397"/>
    <n v="3.28"/>
    <m/>
    <m/>
    <x v="0"/>
    <x v="0"/>
    <x v="0"/>
    <m/>
    <m/>
    <m/>
    <m/>
    <m/>
    <m/>
    <m/>
    <m/>
    <m/>
    <m/>
    <m/>
    <m/>
    <m/>
    <m/>
    <m/>
  </r>
  <r>
    <x v="92"/>
    <x v="5"/>
    <d v="2020-04-11T00:00:00"/>
    <n v="532872"/>
    <n v="3.6970000000000001"/>
    <n v="6462"/>
    <n v="1.329"/>
    <n v="27.5"/>
    <n v="944537"/>
    <n v="53760.664700000001"/>
    <n v="4548"/>
    <n v="1252.289"/>
    <n v="12400157"/>
    <n v="4.8099999999999996"/>
    <d v="1899-12-30T00:12:25"/>
    <n v="745"/>
    <x v="2"/>
    <x v="0"/>
    <x v="0"/>
    <m/>
    <m/>
    <m/>
    <m/>
    <m/>
    <m/>
    <m/>
    <n v="1"/>
    <m/>
    <m/>
    <n v="17.899999999999999"/>
    <n v="17.399999999999999"/>
    <n v="9.3000000000000007"/>
    <m/>
    <n v="1"/>
  </r>
  <r>
    <x v="93"/>
    <x v="5"/>
    <d v="2020-04-09T00:00:00"/>
    <n v="957443"/>
    <n v="4.532"/>
    <n v="11558"/>
    <n v="2.1440000000000001"/>
    <n v="33.520000000000003"/>
    <n v="1344512"/>
    <n v="112299.6431"/>
    <n v="11589"/>
    <n v="2878.2460000000001"/>
    <n v="19467368"/>
    <n v="4.72"/>
    <d v="1899-12-30T00:14:57"/>
    <n v="897"/>
    <x v="2"/>
    <x v="0"/>
    <x v="0"/>
    <m/>
    <m/>
    <m/>
    <m/>
    <m/>
    <m/>
    <m/>
    <n v="1"/>
    <m/>
    <m/>
    <n v="8.3000000000000007"/>
    <n v="29"/>
    <n v="7.6"/>
    <m/>
    <n v="1"/>
  </r>
  <r>
    <x v="94"/>
    <x v="3"/>
    <d v="2020-04-07T00:00:00"/>
    <n v="0"/>
    <m/>
    <n v="0"/>
    <n v="0"/>
    <n v="44.46"/>
    <n v="169125"/>
    <n v="11632.8534"/>
    <n v="567"/>
    <n v="0"/>
    <n v="2857789"/>
    <n v="4.4400000000000004"/>
    <d v="1899-12-30T00:09:17"/>
    <n v="557"/>
    <x v="1"/>
    <x v="0"/>
    <x v="0"/>
    <n v="1"/>
    <m/>
    <n v="1"/>
    <m/>
    <m/>
    <n v="1"/>
    <m/>
    <n v="1"/>
    <m/>
    <n v="1"/>
    <n v="11.7"/>
    <n v="14"/>
    <n v="14.6"/>
    <m/>
    <m/>
  </r>
  <r>
    <x v="95"/>
    <x v="4"/>
    <d v="2020-03-31T00:00:00"/>
    <n v="76190"/>
    <n v="4.6379999999999999"/>
    <n v="1323"/>
    <n v="0.97499999999999998"/>
    <n v="30.32"/>
    <n v="241458"/>
    <n v="11938.5407"/>
    <n v="481"/>
    <n v="234.92099999999999"/>
    <n v="3735202"/>
    <n v="4.78"/>
    <d v="1899-12-30T00:09:47"/>
    <n v="587"/>
    <x v="1"/>
    <x v="0"/>
    <x v="0"/>
    <m/>
    <m/>
    <n v="1"/>
    <n v="1"/>
    <m/>
    <m/>
    <m/>
    <m/>
    <m/>
    <m/>
    <n v="13.8"/>
    <n v="12.6"/>
    <n v="10"/>
    <m/>
    <m/>
  </r>
  <r>
    <x v="96"/>
    <x v="3"/>
    <d v="2020-03-30T00:00:00"/>
    <n v="59780"/>
    <n v="4.42"/>
    <n v="362"/>
    <n v="1.8120000000000001"/>
    <n v="26.04"/>
    <n v="96705"/>
    <n v="7254.4584999999997"/>
    <n v="362"/>
    <n v="175.12799999999999"/>
    <n v="2077963"/>
    <n v="3.32"/>
    <d v="1899-12-30T00:17:16"/>
    <n v="1036"/>
    <x v="2"/>
    <x v="0"/>
    <x v="0"/>
    <n v="1"/>
    <m/>
    <m/>
    <n v="1"/>
    <n v="1"/>
    <n v="1"/>
    <m/>
    <m/>
    <m/>
    <n v="1"/>
    <m/>
    <m/>
    <m/>
    <m/>
    <m/>
  </r>
  <r>
    <x v="97"/>
    <x v="5"/>
    <d v="2020-03-28T00:00:00"/>
    <n v="215063"/>
    <n v="3.6709999999999998"/>
    <n v="1662"/>
    <n v="1.4930000000000001"/>
    <n v="33.15"/>
    <n v="361818"/>
    <n v="24389.995699999999"/>
    <n v="2173"/>
    <n v="539.93600000000004"/>
    <n v="6062850"/>
    <n v="4.3899999999999997"/>
    <d v="1899-12-30T00:12:12"/>
    <n v="732"/>
    <x v="2"/>
    <x v="0"/>
    <x v="0"/>
    <m/>
    <m/>
    <m/>
    <m/>
    <m/>
    <m/>
    <m/>
    <n v="1"/>
    <m/>
    <m/>
    <m/>
    <m/>
    <m/>
    <m/>
    <n v="1"/>
  </r>
  <r>
    <x v="98"/>
    <x v="5"/>
    <d v="2020-03-26T00:00:00"/>
    <n v="79777"/>
    <n v="3.629"/>
    <n v="967"/>
    <n v="1.333"/>
    <n v="52.84"/>
    <n v="147337"/>
    <n v="4217.1184000000003"/>
    <n v="420"/>
    <n v="196.351"/>
    <n v="2318146"/>
    <n v="4.5599999999999996"/>
    <d v="1899-12-30T00:03:15"/>
    <n v="195"/>
    <x v="1"/>
    <x v="0"/>
    <x v="0"/>
    <m/>
    <m/>
    <m/>
    <m/>
    <m/>
    <n v="1"/>
    <m/>
    <n v="1"/>
    <m/>
    <m/>
    <m/>
    <m/>
    <m/>
    <m/>
    <n v="1"/>
  </r>
  <r>
    <x v="99"/>
    <x v="2"/>
    <d v="2020-03-24T00:00:00"/>
    <n v="106450"/>
    <n v="4.4279999999999999"/>
    <n v="3314"/>
    <n v="0.92800000000000005"/>
    <n v="39.25"/>
    <n v="319269"/>
    <n v="25308.940200000001"/>
    <n v="3231"/>
    <n v="295.923"/>
    <n v="6541914"/>
    <n v="3.44"/>
    <d v="1899-12-30T00:12:07"/>
    <n v="727"/>
    <x v="2"/>
    <x v="0"/>
    <x v="0"/>
    <n v="1"/>
    <n v="1"/>
    <m/>
    <m/>
    <n v="1"/>
    <n v="1"/>
    <m/>
    <m/>
    <m/>
    <m/>
    <m/>
    <m/>
    <m/>
    <m/>
    <m/>
  </r>
  <r>
    <x v="100"/>
    <x v="3"/>
    <d v="2020-03-23T00:00:00"/>
    <n v="0"/>
    <m/>
    <n v="0"/>
    <n v="7.9000000000000001E-2"/>
    <n v="25.07"/>
    <n v="87541"/>
    <n v="4871.6457"/>
    <n v="256"/>
    <n v="6.9169999999999998"/>
    <n v="2241164"/>
    <n v="2.79"/>
    <d v="1899-12-30T00:13:19"/>
    <n v="799"/>
    <x v="2"/>
    <x v="0"/>
    <x v="0"/>
    <n v="1"/>
    <m/>
    <m/>
    <m/>
    <n v="1"/>
    <n v="1"/>
    <m/>
    <n v="1"/>
    <m/>
    <n v="1"/>
    <m/>
    <m/>
    <m/>
    <n v="1"/>
    <m/>
  </r>
  <r>
    <x v="101"/>
    <x v="6"/>
    <d v="2020-03-22T00:00:00"/>
    <n v="15271"/>
    <n v="3.3839999999999999"/>
    <n v="0"/>
    <n v="1.3320000000000001"/>
    <n v="1.1499999999999999"/>
    <n v="52142"/>
    <n v="2710.9762000000001"/>
    <n v="-1"/>
    <n v="69.478999999999999"/>
    <n v="447056"/>
    <n v="8.11"/>
    <m/>
    <m/>
    <x v="0"/>
    <x v="0"/>
    <x v="0"/>
    <m/>
    <m/>
    <m/>
    <m/>
    <m/>
    <m/>
    <m/>
    <m/>
    <m/>
    <m/>
    <m/>
    <m/>
    <m/>
    <m/>
    <m/>
  </r>
  <r>
    <x v="102"/>
    <x v="3"/>
    <d v="2020-03-22T00:00:00"/>
    <n v="34752"/>
    <n v="3.746"/>
    <n v="706"/>
    <n v="1.3580000000000001"/>
    <n v="45.6"/>
    <n v="64430"/>
    <n v="3933.8085999999998"/>
    <n v="117"/>
    <n v="87.399000000000001"/>
    <n v="1951641"/>
    <n v="2.25"/>
    <d v="1899-12-30T00:08:02"/>
    <n v="482"/>
    <x v="1"/>
    <x v="0"/>
    <x v="0"/>
    <n v="1"/>
    <m/>
    <n v="1"/>
    <m/>
    <m/>
    <n v="1"/>
    <m/>
    <m/>
    <m/>
    <n v="1"/>
    <m/>
    <m/>
    <m/>
    <m/>
    <m/>
  </r>
  <r>
    <x v="103"/>
    <x v="6"/>
    <d v="2020-03-19T00:00:00"/>
    <n v="66601"/>
    <n v="3.9830000000000001"/>
    <n v="671"/>
    <n v="0.91800000000000004"/>
    <n v="28.66"/>
    <n v="196100"/>
    <n v="17125.586500000001"/>
    <n v="1079"/>
    <n v="179.828"/>
    <n v="4684168"/>
    <n v="2.94"/>
    <d v="1899-12-30T00:18:17"/>
    <n v="1097"/>
    <x v="2"/>
    <x v="0"/>
    <x v="0"/>
    <n v="1"/>
    <m/>
    <m/>
    <n v="1"/>
    <m/>
    <n v="1"/>
    <m/>
    <n v="1"/>
    <m/>
    <n v="1"/>
    <m/>
    <m/>
    <m/>
    <m/>
    <m/>
  </r>
  <r>
    <x v="104"/>
    <x v="4"/>
    <d v="2020-03-13T00:00:00"/>
    <n v="26923"/>
    <n v="3.4460000000000002"/>
    <n v="44"/>
    <n v="0.57099999999999995"/>
    <n v="16.170000000000002"/>
    <n v="133408"/>
    <n v="20242.391899999999"/>
    <n v="360"/>
    <n v="76.037000000000006"/>
    <n v="2735037"/>
    <n v="2.93"/>
    <d v="1899-12-30T00:56:19"/>
    <n v="3379"/>
    <x v="3"/>
    <x v="0"/>
    <x v="0"/>
    <n v="1"/>
    <m/>
    <m/>
    <m/>
    <m/>
    <n v="1"/>
    <n v="1"/>
    <m/>
    <m/>
    <n v="1"/>
    <m/>
    <m/>
    <m/>
    <m/>
    <m/>
  </r>
  <r>
    <x v="105"/>
    <x v="6"/>
    <d v="2020-03-11T00:00:00"/>
    <n v="9225"/>
    <n v="4.2770000000000001"/>
    <n v="1144"/>
    <n v="0.22500000000000001"/>
    <n v="38.479999999999997"/>
    <n v="214535"/>
    <n v="17521.183000000001"/>
    <n v="797"/>
    <n v="48.26"/>
    <n v="5151295"/>
    <n v="2.98"/>
    <d v="1899-12-30T00:12:44"/>
    <n v="764"/>
    <x v="2"/>
    <x v="0"/>
    <x v="0"/>
    <n v="1"/>
    <m/>
    <m/>
    <m/>
    <n v="1"/>
    <n v="1"/>
    <m/>
    <m/>
    <m/>
    <n v="1"/>
    <m/>
    <m/>
    <m/>
    <n v="1"/>
    <m/>
  </r>
  <r>
    <x v="106"/>
    <x v="6"/>
    <d v="2020-03-07T00:00:00"/>
    <n v="4886"/>
    <n v="3.8069999999999999"/>
    <n v="477"/>
    <n v="9.2999999999999999E-2"/>
    <n v="34.01"/>
    <n v="205180"/>
    <n v="23786.496500000001"/>
    <n v="778"/>
    <n v="19.044"/>
    <n v="4055047"/>
    <n v="3.44"/>
    <d v="1899-12-30T00:20:27"/>
    <n v="1227"/>
    <x v="3"/>
    <x v="0"/>
    <x v="0"/>
    <n v="1"/>
    <m/>
    <m/>
    <m/>
    <n v="1"/>
    <n v="1"/>
    <m/>
    <m/>
    <m/>
    <n v="1"/>
    <m/>
    <m/>
    <m/>
    <n v="1"/>
    <m/>
  </r>
  <r>
    <x v="107"/>
    <x v="3"/>
    <d v="2020-03-06T00:00:00"/>
    <n v="22035"/>
    <n v="3.2749999999999999"/>
    <n v="1256"/>
    <n v="0.35699999999999998"/>
    <n v="40.93"/>
    <n v="132355"/>
    <n v="9314.3472000000002"/>
    <n v="318"/>
    <n v="47.271999999999998"/>
    <n v="2390549"/>
    <n v="3.9"/>
    <d v="1899-12-30T00:10:19"/>
    <n v="619"/>
    <x v="2"/>
    <x v="0"/>
    <x v="0"/>
    <n v="1"/>
    <m/>
    <n v="1"/>
    <m/>
    <m/>
    <n v="1"/>
    <m/>
    <n v="1"/>
    <m/>
    <n v="1"/>
    <m/>
    <m/>
    <m/>
    <m/>
    <m/>
  </r>
  <r>
    <x v="108"/>
    <x v="3"/>
    <d v="2020-03-04T00:00:00"/>
    <n v="49786"/>
    <n v="3.6419999999999999"/>
    <n v="365"/>
    <n v="1.429"/>
    <n v="33.29"/>
    <n v="81379"/>
    <n v="6751.0268999999998"/>
    <n v="65"/>
    <n v="116.236"/>
    <n v="2273348"/>
    <n v="2.29"/>
    <d v="1899-12-30T00:14:57"/>
    <n v="897"/>
    <x v="2"/>
    <x v="0"/>
    <x v="0"/>
    <n v="1"/>
    <n v="1"/>
    <m/>
    <m/>
    <m/>
    <n v="1"/>
    <m/>
    <m/>
    <m/>
    <m/>
    <m/>
    <m/>
    <m/>
    <n v="1"/>
    <m/>
  </r>
  <r>
    <x v="109"/>
    <x v="5"/>
    <d v="2020-02-28T00:00:00"/>
    <n v="400583"/>
    <n v="5.3550000000000004"/>
    <n v="1668"/>
    <n v="2.1869999999999998"/>
    <n v="23.03"/>
    <n v="704092"/>
    <n v="65457.788999999997"/>
    <n v="8477"/>
    <n v="1535.3209999999999"/>
    <n v="9853812"/>
    <n v="4.91"/>
    <d v="1899-12-30T00:24:13"/>
    <n v="1453"/>
    <x v="3"/>
    <x v="0"/>
    <x v="0"/>
    <n v="1"/>
    <m/>
    <m/>
    <m/>
    <n v="1"/>
    <n v="1"/>
    <m/>
    <n v="1"/>
    <m/>
    <n v="1"/>
    <m/>
    <m/>
    <m/>
    <m/>
    <m/>
  </r>
  <r>
    <x v="110"/>
    <x v="3"/>
    <d v="2020-02-20T00:00:00"/>
    <n v="54805"/>
    <n v="3.2050000000000001"/>
    <n v="2361"/>
    <n v="0.55700000000000005"/>
    <n v="52.5"/>
    <n v="205643"/>
    <n v="12535.1432"/>
    <n v="791"/>
    <n v="114.422"/>
    <n v="3508012"/>
    <n v="4.3"/>
    <d v="1899-12-30T00:06:58"/>
    <n v="418"/>
    <x v="1"/>
    <x v="0"/>
    <x v="0"/>
    <n v="1"/>
    <m/>
    <m/>
    <m/>
    <n v="1"/>
    <n v="1"/>
    <m/>
    <m/>
    <m/>
    <n v="1"/>
    <m/>
    <m/>
    <m/>
    <m/>
    <m/>
  </r>
  <r>
    <x v="111"/>
    <x v="4"/>
    <d v="2020-02-13T00:00:00"/>
    <n v="18255"/>
    <n v="3.339"/>
    <n v="399"/>
    <n v="0.27700000000000002"/>
    <n v="36.21"/>
    <n v="142861"/>
    <n v="11652.984"/>
    <n v="751"/>
    <n v="39.579000000000001"/>
    <n v="2779966"/>
    <n v="3.35"/>
    <d v="1899-12-30T00:13:31"/>
    <n v="811"/>
    <x v="2"/>
    <x v="0"/>
    <x v="0"/>
    <n v="1"/>
    <m/>
    <m/>
    <m/>
    <m/>
    <n v="1"/>
    <n v="1"/>
    <m/>
    <m/>
    <n v="1"/>
    <m/>
    <m/>
    <m/>
    <m/>
    <m/>
  </r>
  <r>
    <x v="112"/>
    <x v="3"/>
    <d v="2020-02-05T00:00:00"/>
    <n v="268432"/>
    <n v="4.5510000000000002"/>
    <n v="2263"/>
    <n v="1.3169999999999999"/>
    <n v="33.99"/>
    <n v="595481"/>
    <n v="62008.387199999997"/>
    <n v="5109"/>
    <n v="783.66899999999998"/>
    <n v="14142970"/>
    <n v="3.18"/>
    <d v="1899-12-30T00:18:23"/>
    <n v="1103"/>
    <x v="2"/>
    <x v="0"/>
    <x v="0"/>
    <n v="1"/>
    <m/>
    <m/>
    <m/>
    <n v="1"/>
    <n v="1"/>
    <m/>
    <n v="1"/>
    <m/>
    <n v="1"/>
    <m/>
    <m/>
    <m/>
    <m/>
    <m/>
  </r>
  <r>
    <x v="113"/>
    <x v="4"/>
    <d v="2020-01-29T00:00:00"/>
    <n v="67465"/>
    <n v="3.0569999999999999"/>
    <n v="2269"/>
    <n v="0.51900000000000002"/>
    <n v="38.159999999999997"/>
    <n v="251665"/>
    <n v="17205.114399999999"/>
    <n v="1213"/>
    <n v="130.542"/>
    <n v="4486722"/>
    <n v="4.0199999999999996"/>
    <d v="1899-12-30T00:10:45"/>
    <n v="645"/>
    <x v="2"/>
    <x v="0"/>
    <x v="0"/>
    <n v="1"/>
    <m/>
    <n v="1"/>
    <n v="1"/>
    <m/>
    <n v="1"/>
    <m/>
    <n v="1"/>
    <m/>
    <n v="1"/>
    <m/>
    <m/>
    <m/>
    <m/>
    <m/>
  </r>
  <r>
    <x v="114"/>
    <x v="3"/>
    <d v="2020-01-21T00:00:00"/>
    <n v="93773"/>
    <n v="3.1280000000000001"/>
    <n v="3782"/>
    <n v="0.57599999999999996"/>
    <n v="50.67"/>
    <n v="325030"/>
    <n v="17474.8334"/>
    <n v="1557"/>
    <n v="186.92500000000001"/>
    <n v="5917871"/>
    <n v="4.05"/>
    <d v="1899-12-30T00:06:22"/>
    <n v="382"/>
    <x v="1"/>
    <x v="0"/>
    <x v="0"/>
    <n v="1"/>
    <m/>
    <n v="1"/>
    <n v="1"/>
    <m/>
    <n v="1"/>
    <m/>
    <m/>
    <m/>
    <n v="1"/>
    <m/>
    <m/>
    <m/>
    <m/>
    <m/>
  </r>
  <r>
    <x v="115"/>
    <x v="5"/>
    <d v="2020-01-14T00:00:00"/>
    <n v="411892"/>
    <n v="5.2629999999999999"/>
    <n v="1545"/>
    <n v="2.0960000000000001"/>
    <n v="24.33"/>
    <n v="696013"/>
    <n v="73948.720300000001"/>
    <n v="7244"/>
    <n v="1456.0039999999999"/>
    <n v="11353100"/>
    <n v="4.38"/>
    <d v="1899-12-30T00:26:12"/>
    <n v="1572"/>
    <x v="3"/>
    <x v="0"/>
    <x v="0"/>
    <n v="1"/>
    <m/>
    <m/>
    <m/>
    <n v="1"/>
    <n v="1"/>
    <m/>
    <n v="1"/>
    <m/>
    <n v="1"/>
    <m/>
    <m/>
    <m/>
    <n v="1"/>
    <m/>
  </r>
  <r>
    <x v="116"/>
    <x v="3"/>
    <d v="2020-01-07T00:00:00"/>
    <n v="275622"/>
    <n v="5.9969999999999999"/>
    <n v="1814"/>
    <n v="2.2400000000000002"/>
    <n v="32.04"/>
    <n v="504347"/>
    <n v="63242.069100000001"/>
    <n v="7144"/>
    <n v="1127.49"/>
    <n v="11606070"/>
    <n v="2.79"/>
    <d v="1899-12-30T00:23:29"/>
    <n v="1409"/>
    <x v="3"/>
    <x v="0"/>
    <x v="0"/>
    <n v="1"/>
    <m/>
    <m/>
    <m/>
    <n v="1"/>
    <n v="1"/>
    <m/>
    <m/>
    <m/>
    <n v="1"/>
    <m/>
    <m/>
    <m/>
    <m/>
    <m/>
  </r>
  <r>
    <x v="117"/>
    <x v="3"/>
    <d v="2019-12-31T00:00:00"/>
    <n v="171804"/>
    <n v="3.15"/>
    <n v="2815"/>
    <n v="0.752"/>
    <n v="29.66"/>
    <n v="465598"/>
    <n v="27044.022499999999"/>
    <n v="2208"/>
    <n v="349.33300000000003"/>
    <n v="8009400"/>
    <n v="3.67"/>
    <d v="1899-12-30T00:11:45"/>
    <n v="705"/>
    <x v="2"/>
    <x v="0"/>
    <x v="0"/>
    <n v="1"/>
    <m/>
    <n v="1"/>
    <m/>
    <m/>
    <n v="1"/>
    <m/>
    <m/>
    <m/>
    <n v="1"/>
    <m/>
    <m/>
    <m/>
    <m/>
    <m/>
  </r>
  <r>
    <x v="118"/>
    <x v="5"/>
    <d v="2019-12-27T00:00:00"/>
    <n v="37609"/>
    <n v="5.0549999999999997"/>
    <n v="0"/>
    <n v="0.80900000000000005"/>
    <n v="22.61"/>
    <n v="153159"/>
    <n v="9811.8014000000003"/>
    <n v="844"/>
    <n v="123.788"/>
    <n v="2455235"/>
    <n v="4.2"/>
    <d v="1899-12-30T00:17:00"/>
    <n v="1020"/>
    <x v="2"/>
    <x v="0"/>
    <x v="0"/>
    <n v="1"/>
    <m/>
    <m/>
    <m/>
    <n v="1"/>
    <n v="1"/>
    <m/>
    <m/>
    <m/>
    <n v="1"/>
    <m/>
    <m/>
    <m/>
    <n v="1"/>
    <m/>
  </r>
  <r>
    <x v="119"/>
    <x v="3"/>
    <d v="2019-12-25T00:00:00"/>
    <n v="40874"/>
    <n v="3.8119999999999998"/>
    <n v="76"/>
    <n v="1.5249999999999999"/>
    <n v="20.239999999999998"/>
    <n v="65353"/>
    <n v="3225.5879"/>
    <n v="-3"/>
    <n v="99.671000000000006"/>
    <n v="1723809"/>
    <n v="2.59"/>
    <d v="1899-12-30T00:14:38"/>
    <n v="878"/>
    <x v="2"/>
    <x v="0"/>
    <x v="0"/>
    <n v="1"/>
    <m/>
    <m/>
    <m/>
    <n v="1"/>
    <n v="1"/>
    <m/>
    <m/>
    <m/>
    <n v="1"/>
    <m/>
    <m/>
    <m/>
    <m/>
    <m/>
  </r>
  <r>
    <x v="120"/>
    <x v="3"/>
    <d v="2019-12-21T00:00:00"/>
    <n v="191073"/>
    <n v="3.0550000000000002"/>
    <n v="2245"/>
    <n v="1.367"/>
    <n v="37.56"/>
    <n v="345872"/>
    <n v="34138.134599999998"/>
    <n v="1035"/>
    <n v="471.91500000000002"/>
    <n v="10147704"/>
    <n v="2.21"/>
    <d v="1899-12-30T00:15:46"/>
    <n v="946"/>
    <x v="2"/>
    <x v="0"/>
    <x v="0"/>
    <n v="1"/>
    <n v="1"/>
    <m/>
    <m/>
    <m/>
    <n v="1"/>
    <m/>
    <m/>
    <m/>
    <m/>
    <m/>
    <m/>
    <m/>
    <n v="1"/>
    <m/>
  </r>
  <r>
    <x v="121"/>
    <x v="3"/>
    <d v="2019-12-17T00:00:00"/>
    <n v="125092"/>
    <n v="4.0860000000000003"/>
    <n v="0"/>
    <n v="0.871"/>
    <n v="39.880000000000003"/>
    <n v="382717"/>
    <n v="23998.5645"/>
    <n v="2559"/>
    <n v="332.72699999999998"/>
    <n v="6453127"/>
    <n v="4.33"/>
    <d v="1899-12-30T00:09:26"/>
    <n v="566"/>
    <x v="1"/>
    <x v="0"/>
    <x v="0"/>
    <n v="1"/>
    <m/>
    <n v="1"/>
    <m/>
    <m/>
    <n v="1"/>
    <m/>
    <n v="1"/>
    <m/>
    <n v="1"/>
    <m/>
    <m/>
    <m/>
    <m/>
    <m/>
  </r>
  <r>
    <x v="122"/>
    <x v="5"/>
    <d v="2019-12-11T00:00:00"/>
    <n v="60917"/>
    <n v="4.2850000000000001"/>
    <n v="897"/>
    <n v="0.76500000000000001"/>
    <n v="25.58"/>
    <n v="235843"/>
    <n v="22825.223699999999"/>
    <n v="1117"/>
    <n v="180.232"/>
    <n v="5277042"/>
    <n v="3.18"/>
    <d v="1899-12-30T00:22:42"/>
    <n v="1362"/>
    <x v="3"/>
    <x v="0"/>
    <x v="0"/>
    <n v="1"/>
    <n v="1"/>
    <m/>
    <n v="1"/>
    <n v="1"/>
    <n v="1"/>
    <m/>
    <n v="1"/>
    <m/>
    <m/>
    <m/>
    <m/>
    <m/>
    <m/>
    <m/>
  </r>
  <r>
    <x v="123"/>
    <x v="3"/>
    <d v="2019-12-06T00:00:00"/>
    <n v="274364"/>
    <n v="2.8130000000000002"/>
    <n v="24247"/>
    <n v="0.7"/>
    <n v="48.48"/>
    <n v="704048"/>
    <n v="29391.387299999999"/>
    <n v="8197"/>
    <n v="491.96899999999999"/>
    <n v="15648435"/>
    <n v="3.04"/>
    <d v="1899-12-30T00:05:10"/>
    <n v="310"/>
    <x v="1"/>
    <x v="0"/>
    <x v="0"/>
    <n v="1"/>
    <m/>
    <n v="1"/>
    <m/>
    <m/>
    <n v="1"/>
    <m/>
    <n v="1"/>
    <m/>
    <m/>
    <m/>
    <m/>
    <m/>
    <m/>
    <m/>
  </r>
  <r>
    <x v="124"/>
    <x v="4"/>
    <d v="2019-11-26T00:00:00"/>
    <n v="384633"/>
    <n v="3.6890000000000001"/>
    <n v="1619"/>
    <n v="1.39"/>
    <n v="25.68"/>
    <n v="743966"/>
    <n v="70703.1011"/>
    <n v="16535"/>
    <n v="1031.646"/>
    <n v="15154153"/>
    <n v="3.23"/>
    <d v="1899-12-30T00:22:12"/>
    <n v="1332"/>
    <x v="3"/>
    <x v="0"/>
    <x v="0"/>
    <n v="1"/>
    <n v="1"/>
    <m/>
    <m/>
    <n v="1"/>
    <n v="1"/>
    <m/>
    <m/>
    <m/>
    <m/>
    <m/>
    <m/>
    <m/>
    <m/>
    <m/>
  </r>
  <r>
    <x v="125"/>
    <x v="4"/>
    <d v="2019-11-20T00:00:00"/>
    <n v="64422"/>
    <n v="4.0780000000000003"/>
    <n v="7636"/>
    <n v="0.57999999999999996"/>
    <n v="45.77"/>
    <n v="294407"/>
    <n v="14935.4547"/>
    <n v="2918"/>
    <n v="170.56899999999999"/>
    <n v="4011066"/>
    <n v="5.04"/>
    <d v="1899-12-30T00:06:39"/>
    <n v="399"/>
    <x v="1"/>
    <x v="0"/>
    <x v="0"/>
    <n v="1"/>
    <m/>
    <n v="1"/>
    <m/>
    <m/>
    <n v="1"/>
    <m/>
    <n v="1"/>
    <m/>
    <n v="1"/>
    <m/>
    <m/>
    <m/>
    <m/>
    <m/>
  </r>
  <r>
    <x v="126"/>
    <x v="3"/>
    <d v="2019-11-14T00:00:00"/>
    <n v="195911"/>
    <n v="3.859"/>
    <n v="0"/>
    <n v="1.887"/>
    <n v="25.94"/>
    <n v="295293"/>
    <n v="31260.380399999998"/>
    <n v="779"/>
    <n v="556.46"/>
    <n v="10960621"/>
    <n v="1.87"/>
    <d v="1899-12-30T00:24:29"/>
    <n v="1469"/>
    <x v="3"/>
    <x v="1"/>
    <x v="0"/>
    <n v="1"/>
    <n v="1"/>
    <m/>
    <m/>
    <m/>
    <n v="1"/>
    <n v="1"/>
    <m/>
    <m/>
    <m/>
    <m/>
    <m/>
    <m/>
    <n v="1"/>
    <m/>
  </r>
  <r>
    <x v="127"/>
    <x v="5"/>
    <d v="2019-11-06T00:00:00"/>
    <n v="13920"/>
    <n v="4.5039999999999996"/>
    <n v="0"/>
    <n v="0.54400000000000004"/>
    <n v="27.01"/>
    <n v="83752"/>
    <n v="7288.3786"/>
    <n v="351"/>
    <n v="45.579000000000001"/>
    <n v="1929261"/>
    <n v="3.06"/>
    <d v="1899-12-30T00:19:20"/>
    <n v="1160"/>
    <x v="2"/>
    <x v="1"/>
    <x v="0"/>
    <n v="1"/>
    <m/>
    <m/>
    <n v="1"/>
    <n v="1"/>
    <n v="1"/>
    <m/>
    <n v="1"/>
    <m/>
    <m/>
    <m/>
    <m/>
    <m/>
    <m/>
    <m/>
  </r>
  <r>
    <x v="128"/>
    <x v="5"/>
    <d v="2019-10-31T00:00:00"/>
    <n v="63633"/>
    <n v="4.2670000000000003"/>
    <n v="0"/>
    <n v="1.3879999999999999"/>
    <n v="43.78"/>
    <n v="133562"/>
    <n v="7000.8058000000001"/>
    <n v="455"/>
    <n v="185.346"/>
    <n v="2675566"/>
    <n v="3.73"/>
    <d v="1899-12-30T00:07:11"/>
    <n v="431"/>
    <x v="1"/>
    <x v="1"/>
    <x v="0"/>
    <n v="1"/>
    <n v="1"/>
    <m/>
    <n v="1"/>
    <n v="1"/>
    <n v="1"/>
    <m/>
    <n v="1"/>
    <m/>
    <m/>
    <m/>
    <m/>
    <m/>
    <m/>
    <m/>
  </r>
  <r>
    <x v="129"/>
    <x v="2"/>
    <d v="2019-10-30T00:00:00"/>
    <n v="522980"/>
    <n v="4.2249999999999996"/>
    <n v="0"/>
    <n v="1.859"/>
    <n v="38.43"/>
    <n v="827499"/>
    <n v="59721.462500000001"/>
    <n v="15586"/>
    <n v="1535.421"/>
    <n v="13933582"/>
    <n v="4.1500000000000004"/>
    <d v="1899-12-30T00:11:16"/>
    <n v="676"/>
    <x v="2"/>
    <x v="1"/>
    <x v="0"/>
    <m/>
    <m/>
    <m/>
    <m/>
    <m/>
    <n v="1"/>
    <m/>
    <m/>
    <n v="1"/>
    <m/>
    <m/>
    <m/>
    <m/>
    <m/>
    <m/>
  </r>
  <r>
    <x v="130"/>
    <x v="4"/>
    <d v="2019-10-24T00:00:00"/>
    <n v="188326"/>
    <n v="3.7440000000000002"/>
    <n v="0"/>
    <n v="0.98199999999999998"/>
    <n v="44.32"/>
    <n v="475658"/>
    <n v="21316.694800000001"/>
    <n v="3628"/>
    <n v="466.38"/>
    <n v="6561300"/>
    <n v="5.08"/>
    <d v="1899-12-30T00:06:04"/>
    <n v="364"/>
    <x v="1"/>
    <x v="1"/>
    <x v="0"/>
    <n v="1"/>
    <m/>
    <n v="1"/>
    <m/>
    <m/>
    <n v="1"/>
    <m/>
    <n v="1"/>
    <m/>
    <n v="1"/>
    <m/>
    <m/>
    <m/>
    <m/>
    <m/>
  </r>
  <r>
    <x v="131"/>
    <x v="5"/>
    <d v="2019-10-19T00:00:00"/>
    <n v="172555"/>
    <n v="6.5609999999999999"/>
    <n v="0"/>
    <n v="1.7470000000000001"/>
    <n v="28.24"/>
    <n v="419375"/>
    <n v="26644.9035"/>
    <n v="5196"/>
    <n v="731.202"/>
    <n v="5149574"/>
    <n v="5.14"/>
    <d v="1899-12-30T00:13:30"/>
    <n v="810"/>
    <x v="2"/>
    <x v="1"/>
    <x v="0"/>
    <m/>
    <m/>
    <m/>
    <m/>
    <m/>
    <n v="1"/>
    <m/>
    <n v="1"/>
    <m/>
    <m/>
    <m/>
    <m/>
    <m/>
    <m/>
    <n v="1"/>
  </r>
  <r>
    <x v="132"/>
    <x v="5"/>
    <d v="2019-10-14T00:00:00"/>
    <n v="180828"/>
    <n v="4.375"/>
    <n v="8236"/>
    <n v="1.341"/>
    <n v="41.29"/>
    <n v="384753"/>
    <n v="19901.607599999999"/>
    <n v="2836"/>
    <n v="514.96199999999999"/>
    <n v="5569395"/>
    <n v="4.78"/>
    <d v="1899-12-30T00:07:31"/>
    <n v="451"/>
    <x v="1"/>
    <x v="1"/>
    <x v="0"/>
    <m/>
    <m/>
    <m/>
    <m/>
    <m/>
    <n v="1"/>
    <m/>
    <n v="1"/>
    <m/>
    <m/>
    <m/>
    <m/>
    <m/>
    <m/>
    <m/>
  </r>
  <r>
    <x v="133"/>
    <x v="2"/>
    <d v="2019-10-09T00:00:00"/>
    <n v="194730"/>
    <n v="6.1079999999999997"/>
    <n v="0"/>
    <n v="1.6990000000000001"/>
    <n v="30.93"/>
    <n v="439907"/>
    <n v="37414.873599999999"/>
    <n v="7586"/>
    <n v="746.572"/>
    <n v="8119680"/>
    <n v="3.47"/>
    <d v="1899-12-30T00:16:30"/>
    <n v="990"/>
    <x v="2"/>
    <x v="1"/>
    <x v="0"/>
    <n v="1"/>
    <m/>
    <m/>
    <m/>
    <n v="1"/>
    <n v="1"/>
    <m/>
    <m/>
    <m/>
    <n v="1"/>
    <m/>
    <m/>
    <m/>
    <n v="1"/>
    <m/>
  </r>
  <r>
    <x v="134"/>
    <x v="5"/>
    <d v="2019-10-01T00:00:00"/>
    <n v="224956"/>
    <n v="2.6160000000000001"/>
    <n v="0"/>
    <n v="0.88200000000000001"/>
    <n v="23.58"/>
    <n v="425475"/>
    <n v="25165.176200000002"/>
    <n v="4412"/>
    <n v="374.86500000000001"/>
    <n v="5526481"/>
    <n v="5.67"/>
    <d v="1899-12-30T00:15:03"/>
    <n v="903"/>
    <x v="2"/>
    <x v="1"/>
    <x v="0"/>
    <n v="1"/>
    <m/>
    <m/>
    <n v="1"/>
    <m/>
    <n v="1"/>
    <m/>
    <n v="1"/>
    <m/>
    <m/>
    <m/>
    <m/>
    <m/>
    <m/>
    <m/>
  </r>
  <r>
    <x v="135"/>
    <x v="3"/>
    <d v="2019-09-24T00:00:00"/>
    <n v="7267"/>
    <n v="4.8490000000000002"/>
    <n v="238"/>
    <n v="0.40100000000000002"/>
    <n v="26.5"/>
    <n v="58442"/>
    <n v="3609.7609000000002"/>
    <n v="138"/>
    <n v="23.411999999999999"/>
    <n v="1486698"/>
    <n v="2.76"/>
    <d v="1899-12-30T00:13:59"/>
    <n v="839"/>
    <x v="2"/>
    <x v="1"/>
    <x v="0"/>
    <n v="1"/>
    <n v="1"/>
    <m/>
    <n v="1"/>
    <n v="1"/>
    <n v="1"/>
    <m/>
    <m/>
    <m/>
    <m/>
    <m/>
    <m/>
    <m/>
    <m/>
    <m/>
  </r>
  <r>
    <x v="136"/>
    <x v="5"/>
    <d v="2019-09-17T00:00:00"/>
    <n v="374051"/>
    <n v="5.048"/>
    <n v="0"/>
    <n v="1.579"/>
    <n v="29.39"/>
    <n v="788187"/>
    <n v="63694.038099999998"/>
    <n v="8512"/>
    <n v="1243.058"/>
    <n v="10892880"/>
    <n v="4.7300000000000004"/>
    <d v="1899-12-30T00:16:30"/>
    <n v="990"/>
    <x v="2"/>
    <x v="1"/>
    <x v="0"/>
    <m/>
    <m/>
    <m/>
    <m/>
    <m/>
    <n v="1"/>
    <m/>
    <n v="1"/>
    <m/>
    <m/>
    <m/>
    <m/>
    <m/>
    <m/>
    <n v="1"/>
  </r>
  <r>
    <x v="137"/>
    <x v="2"/>
    <d v="2019-09-13T00:00:00"/>
    <n v="846753"/>
    <n v="4.2140000000000004"/>
    <n v="16686"/>
    <n v="1.2350000000000001"/>
    <n v="33.479999999999997"/>
    <n v="1982188"/>
    <n v="99728.804499999998"/>
    <n v="18422"/>
    <n v="2444.9279999999999"/>
    <n v="26984929"/>
    <n v="4.5"/>
    <d v="1899-12-30T00:09:01"/>
    <n v="541"/>
    <x v="1"/>
    <x v="1"/>
    <x v="0"/>
    <m/>
    <m/>
    <m/>
    <m/>
    <m/>
    <m/>
    <m/>
    <n v="1"/>
    <m/>
    <m/>
    <m/>
    <m/>
    <m/>
    <m/>
    <m/>
  </r>
  <r>
    <x v="138"/>
    <x v="3"/>
    <d v="2019-09-06T00:00:00"/>
    <n v="125175"/>
    <n v="3.61"/>
    <n v="1045"/>
    <n v="1.6359999999999999"/>
    <n v="27.61"/>
    <n v="185930"/>
    <n v="19889.398300000001"/>
    <n v="550"/>
    <n v="303.97899999999998"/>
    <n v="3716859"/>
    <n v="3.43"/>
    <d v="1899-12-30T00:23:15"/>
    <n v="1395"/>
    <x v="3"/>
    <x v="1"/>
    <x v="0"/>
    <n v="1"/>
    <n v="1"/>
    <m/>
    <m/>
    <n v="1"/>
    <n v="1"/>
    <n v="1"/>
    <m/>
    <m/>
    <m/>
    <m/>
    <m/>
    <m/>
    <n v="1"/>
    <m/>
  </r>
  <r>
    <x v="139"/>
    <x v="5"/>
    <d v="2019-08-31T00:00:00"/>
    <n v="89025"/>
    <n v="5.6459999999999999"/>
    <n v="0"/>
    <n v="2.1779999999999999"/>
    <n v="52.82"/>
    <n v="156783"/>
    <n v="5543.991"/>
    <n v="538"/>
    <n v="341.15100000000001"/>
    <n v="2292949"/>
    <n v="4.88"/>
    <d v="1899-12-30T00:04:01"/>
    <n v="241"/>
    <x v="1"/>
    <x v="1"/>
    <x v="0"/>
    <n v="1"/>
    <n v="1"/>
    <m/>
    <m/>
    <n v="1"/>
    <n v="1"/>
    <m/>
    <n v="1"/>
    <m/>
    <m/>
    <m/>
    <m/>
    <m/>
    <m/>
    <m/>
  </r>
  <r>
    <x v="140"/>
    <x v="5"/>
    <d v="2019-08-29T00:00:00"/>
    <n v="106502"/>
    <n v="3.802"/>
    <n v="3169"/>
    <n v="1.5389999999999999"/>
    <n v="37.229999999999997"/>
    <n v="171849"/>
    <n v="11411.401400000001"/>
    <n v="1783"/>
    <n v="264.02300000000002"/>
    <n v="3557791"/>
    <n v="3.15"/>
    <d v="1899-12-30T00:10:42"/>
    <n v="642"/>
    <x v="2"/>
    <x v="1"/>
    <x v="0"/>
    <m/>
    <m/>
    <m/>
    <m/>
    <m/>
    <n v="1"/>
    <m/>
    <n v="1"/>
    <m/>
    <m/>
    <m/>
    <m/>
    <m/>
    <m/>
    <m/>
  </r>
  <r>
    <x v="141"/>
    <x v="5"/>
    <d v="2019-08-23T00:00:00"/>
    <n v="78154"/>
    <n v="5.7370000000000001"/>
    <n v="0"/>
    <n v="1.528"/>
    <n v="53.61"/>
    <n v="180917"/>
    <n v="4661.2129000000004"/>
    <n v="584"/>
    <n v="276.29300000000001"/>
    <n v="1914026"/>
    <n v="6.17"/>
    <d v="1899-12-30T00:02:53"/>
    <n v="173"/>
    <x v="1"/>
    <x v="1"/>
    <x v="0"/>
    <n v="1"/>
    <m/>
    <m/>
    <n v="1"/>
    <n v="1"/>
    <n v="1"/>
    <m/>
    <n v="1"/>
    <m/>
    <n v="1"/>
    <m/>
    <m/>
    <m/>
    <m/>
    <m/>
  </r>
  <r>
    <x v="142"/>
    <x v="3"/>
    <d v="2019-08-16T00:00:00"/>
    <n v="553906"/>
    <n v="4.2910000000000004"/>
    <n v="0"/>
    <n v="2.37"/>
    <n v="32.89"/>
    <n v="733448"/>
    <n v="91525.036300000007"/>
    <n v="8569"/>
    <n v="1736.655"/>
    <n v="26590552"/>
    <n v="1.95"/>
    <d v="1899-12-30T00:22:46"/>
    <n v="1366"/>
    <x v="3"/>
    <x v="1"/>
    <x v="0"/>
    <n v="1"/>
    <m/>
    <m/>
    <m/>
    <n v="1"/>
    <n v="1"/>
    <m/>
    <m/>
    <m/>
    <n v="1"/>
    <m/>
    <m/>
    <m/>
    <n v="1"/>
    <m/>
  </r>
  <r>
    <x v="143"/>
    <x v="3"/>
    <d v="2019-08-06T00:00:00"/>
    <n v="44181"/>
    <n v="3.9630000000000001"/>
    <n v="554"/>
    <n v="1.663"/>
    <n v="30.77"/>
    <n v="67897"/>
    <n v="3969.2212"/>
    <n v="203"/>
    <n v="112.91"/>
    <n v="1618102"/>
    <n v="3.03"/>
    <d v="1899-12-30T00:11:24"/>
    <n v="684"/>
    <x v="2"/>
    <x v="1"/>
    <x v="0"/>
    <n v="1"/>
    <m/>
    <m/>
    <n v="1"/>
    <m/>
    <n v="1"/>
    <m/>
    <m/>
    <m/>
    <n v="1"/>
    <m/>
    <m/>
    <m/>
    <m/>
    <m/>
  </r>
  <r>
    <x v="144"/>
    <x v="3"/>
    <d v="2019-08-02T00:00:00"/>
    <n v="51441"/>
    <n v="3.9079999999999999"/>
    <n v="0"/>
    <n v="1.7350000000000001"/>
    <n v="26.34"/>
    <n v="78564"/>
    <n v="7352.9332000000004"/>
    <n v="391"/>
    <n v="136.22399999999999"/>
    <n v="2226245"/>
    <n v="2.5299999999999998"/>
    <d v="1899-12-30T00:21:19"/>
    <n v="1279"/>
    <x v="3"/>
    <x v="1"/>
    <x v="0"/>
    <n v="1"/>
    <m/>
    <m/>
    <m/>
    <m/>
    <n v="1"/>
    <m/>
    <m/>
    <m/>
    <n v="1"/>
    <m/>
    <m/>
    <m/>
    <m/>
    <m/>
  </r>
  <r>
    <x v="145"/>
    <x v="2"/>
    <d v="2019-07-26T00:00:00"/>
    <n v="787001"/>
    <n v="4.4349999999999996"/>
    <n v="0"/>
    <n v="2.29"/>
    <n v="40.840000000000003"/>
    <n v="975880"/>
    <n v="91548.979000000007"/>
    <n v="23328"/>
    <n v="2231.0169999999998"/>
    <n v="24297522"/>
    <n v="2.64"/>
    <d v="1899-12-30T00:13:47"/>
    <n v="827"/>
    <x v="2"/>
    <x v="1"/>
    <x v="0"/>
    <n v="1"/>
    <m/>
    <m/>
    <m/>
    <n v="1"/>
    <n v="1"/>
    <m/>
    <n v="1"/>
    <m/>
    <n v="1"/>
    <m/>
    <m/>
    <m/>
    <n v="1"/>
    <m/>
  </r>
  <r>
    <x v="146"/>
    <x v="5"/>
    <d v="2019-07-23T00:00:00"/>
    <n v="94957"/>
    <n v="5.1639999999999997"/>
    <n v="0"/>
    <n v="2.0609999999999999"/>
    <n v="45.91"/>
    <n v="162305"/>
    <n v="7907.0343000000003"/>
    <n v="886"/>
    <n v="334.44299999999998"/>
    <n v="2218313"/>
    <n v="4.92"/>
    <d v="1899-12-30T00:06:22"/>
    <n v="382"/>
    <x v="1"/>
    <x v="1"/>
    <x v="0"/>
    <m/>
    <m/>
    <m/>
    <m/>
    <m/>
    <n v="1"/>
    <m/>
    <n v="1"/>
    <m/>
    <m/>
    <m/>
    <m/>
    <m/>
    <m/>
    <n v="1"/>
  </r>
  <r>
    <x v="147"/>
    <x v="5"/>
    <d v="2019-07-10T00:00:00"/>
    <n v="298841"/>
    <n v="4.601"/>
    <n v="0"/>
    <n v="2.0339999999999998"/>
    <n v="54.95"/>
    <n v="440046"/>
    <n v="13434.3729"/>
    <n v="3487"/>
    <n v="893.36699999999996"/>
    <n v="6259140"/>
    <n v="5.18"/>
    <d v="1899-12-30T00:03:20"/>
    <n v="200"/>
    <x v="1"/>
    <x v="1"/>
    <x v="0"/>
    <n v="1"/>
    <m/>
    <m/>
    <n v="1"/>
    <n v="1"/>
    <n v="1"/>
    <m/>
    <n v="1"/>
    <m/>
    <n v="1"/>
    <m/>
    <m/>
    <m/>
    <m/>
    <m/>
  </r>
  <r>
    <x v="148"/>
    <x v="6"/>
    <d v="2019-07-05T00:00:00"/>
    <n v="38519"/>
    <n v="6.734"/>
    <n v="0"/>
    <n v="3.1120000000000001"/>
    <n v="31.12"/>
    <n v="54066"/>
    <n v="3809.3897000000002"/>
    <n v="154"/>
    <n v="168.16399999999999"/>
    <n v="1460530"/>
    <n v="2.57"/>
    <d v="1899-12-30T00:13:35"/>
    <n v="815"/>
    <x v="2"/>
    <x v="1"/>
    <x v="0"/>
    <n v="1"/>
    <m/>
    <m/>
    <n v="1"/>
    <n v="1"/>
    <n v="1"/>
    <m/>
    <m/>
    <m/>
    <n v="1"/>
    <m/>
    <m/>
    <m/>
    <m/>
    <m/>
  </r>
  <r>
    <x v="149"/>
    <x v="3"/>
    <d v="2019-07-02T00:00:00"/>
    <n v="44062"/>
    <n v="4.0720000000000001"/>
    <n v="0"/>
    <n v="1.5740000000000001"/>
    <n v="29.3"/>
    <n v="73238"/>
    <n v="4214.7434999999996"/>
    <n v="354"/>
    <n v="115.233"/>
    <n v="1448684"/>
    <n v="3.56"/>
    <d v="1899-12-30T00:11:47"/>
    <n v="707"/>
    <x v="2"/>
    <x v="1"/>
    <x v="0"/>
    <n v="1"/>
    <m/>
    <m/>
    <n v="1"/>
    <n v="1"/>
    <n v="1"/>
    <m/>
    <m/>
    <m/>
    <n v="1"/>
    <m/>
    <m/>
    <m/>
    <m/>
    <m/>
  </r>
  <r>
    <x v="150"/>
    <x v="5"/>
    <d v="2019-06-29T00:00:00"/>
    <n v="41907"/>
    <n v="5.3159999999999998"/>
    <n v="1229"/>
    <n v="2.06"/>
    <n v="42.63"/>
    <n v="72725"/>
    <n v="4701.7485999999999"/>
    <n v="305"/>
    <n v="149.66300000000001"/>
    <n v="1585454"/>
    <n v="3.18"/>
    <d v="1899-12-30T00:09:06"/>
    <n v="546"/>
    <x v="1"/>
    <x v="1"/>
    <x v="0"/>
    <m/>
    <m/>
    <m/>
    <m/>
    <m/>
    <n v="1"/>
    <m/>
    <n v="1"/>
    <m/>
    <m/>
    <m/>
    <m/>
    <m/>
    <m/>
    <m/>
  </r>
  <r>
    <x v="151"/>
    <x v="5"/>
    <d v="2019-06-26T00:00:00"/>
    <n v="145626"/>
    <n v="4.3689999999999998"/>
    <n v="5186"/>
    <n v="1.7529999999999999"/>
    <n v="38.17"/>
    <n v="242689"/>
    <n v="14023.614600000001"/>
    <n v="1423"/>
    <n v="425.26799999999997"/>
    <n v="2985645"/>
    <n v="5.73"/>
    <d v="1899-12-30T00:09:05"/>
    <n v="545"/>
    <x v="1"/>
    <x v="1"/>
    <x v="0"/>
    <m/>
    <m/>
    <n v="1"/>
    <m/>
    <m/>
    <n v="1"/>
    <m/>
    <n v="1"/>
    <m/>
    <m/>
    <m/>
    <m/>
    <m/>
    <m/>
    <m/>
  </r>
  <r>
    <x v="152"/>
    <x v="1"/>
    <d v="2019-06-20T00:00:00"/>
    <n v="14884"/>
    <n v="3.2869999999999999"/>
    <n v="0"/>
    <n v="0.51200000000000001"/>
    <n v="17.03"/>
    <n v="60321"/>
    <n v="2839.4533999999999"/>
    <n v="369"/>
    <n v="30.885000000000002"/>
    <n v="1233424"/>
    <n v="2.5"/>
    <d v="1899-12-30T00:16:35"/>
    <n v="995"/>
    <x v="2"/>
    <x v="1"/>
    <x v="0"/>
    <n v="1"/>
    <m/>
    <m/>
    <m/>
    <n v="1"/>
    <n v="1"/>
    <m/>
    <m/>
    <n v="1"/>
    <m/>
    <m/>
    <m/>
    <m/>
    <n v="1"/>
    <m/>
  </r>
  <r>
    <x v="153"/>
    <x v="4"/>
    <d v="2019-06-16T00:00:00"/>
    <n v="268169"/>
    <n v="3.6520000000000001"/>
    <n v="4312"/>
    <n v="1.57"/>
    <n v="36.36"/>
    <n v="400766"/>
    <n v="33519.868199999997"/>
    <n v="5393"/>
    <n v="627.98699999999997"/>
    <n v="7522837"/>
    <n v="3.55"/>
    <d v="1899-12-30T00:13:47"/>
    <n v="827"/>
    <x v="2"/>
    <x v="1"/>
    <x v="0"/>
    <n v="1"/>
    <m/>
    <m/>
    <m/>
    <n v="1"/>
    <n v="1"/>
    <m/>
    <m/>
    <m/>
    <n v="1"/>
    <m/>
    <m/>
    <m/>
    <n v="1"/>
    <m/>
  </r>
  <r>
    <x v="154"/>
    <x v="6"/>
    <d v="2019-06-12T00:00:00"/>
    <n v="38306"/>
    <n v="4.3559999999999999"/>
    <n v="0"/>
    <n v="2.093"/>
    <n v="31.3"/>
    <n v="59132"/>
    <n v="4544.4889000000003"/>
    <n v="238"/>
    <n v="123.736"/>
    <n v="1724903"/>
    <n v="2.39"/>
    <d v="1899-12-30T00:14:44"/>
    <n v="884"/>
    <x v="2"/>
    <x v="1"/>
    <x v="0"/>
    <n v="1"/>
    <n v="1"/>
    <m/>
    <m/>
    <n v="1"/>
    <n v="1"/>
    <m/>
    <m/>
    <m/>
    <m/>
    <m/>
    <m/>
    <m/>
    <n v="1"/>
    <m/>
  </r>
  <r>
    <x v="155"/>
    <x v="5"/>
    <d v="2019-06-07T00:00:00"/>
    <n v="14523"/>
    <n v="3.8420000000000001"/>
    <n v="0"/>
    <n v="1.294"/>
    <n v="38.1"/>
    <n v="28051"/>
    <n v="1882.3997999999999"/>
    <n v="-47"/>
    <n v="36.304000000000002"/>
    <n v="1222865"/>
    <n v="1.64"/>
    <d v="1899-12-30T00:10:34"/>
    <n v="634"/>
    <x v="0"/>
    <x v="1"/>
    <x v="0"/>
    <m/>
    <m/>
    <m/>
    <m/>
    <m/>
    <m/>
    <m/>
    <m/>
    <m/>
    <m/>
    <m/>
    <m/>
    <m/>
    <m/>
    <m/>
  </r>
  <r>
    <x v="156"/>
    <x v="5"/>
    <d v="2019-06-05T00:00:00"/>
    <n v="13218"/>
    <n v="5.476"/>
    <n v="0"/>
    <n v="2.113"/>
    <n v="45.46"/>
    <n v="23206"/>
    <n v="1400.5841"/>
    <n v="40"/>
    <n v="49.040999999999997"/>
    <n v="1096532"/>
    <n v="1.39"/>
    <d v="1899-12-30T00:07:58"/>
    <n v="478"/>
    <x v="0"/>
    <x v="1"/>
    <x v="0"/>
    <m/>
    <m/>
    <m/>
    <m/>
    <m/>
    <m/>
    <m/>
    <m/>
    <m/>
    <m/>
    <m/>
    <m/>
    <m/>
    <m/>
    <m/>
  </r>
  <r>
    <x v="157"/>
    <x v="5"/>
    <d v="2019-06-05T00:00:00"/>
    <n v="80010"/>
    <n v="4.5709999999999997"/>
    <n v="0"/>
    <n v="1.8260000000000001"/>
    <n v="51.42"/>
    <n v="136876"/>
    <n v="6744.4526999999998"/>
    <n v="754"/>
    <n v="249.89500000000001"/>
    <n v="2105704"/>
    <n v="4.87"/>
    <d v="1899-12-30T00:05:45"/>
    <n v="345"/>
    <x v="1"/>
    <x v="1"/>
    <x v="0"/>
    <m/>
    <m/>
    <m/>
    <m/>
    <m/>
    <n v="1"/>
    <m/>
    <n v="1"/>
    <m/>
    <m/>
    <m/>
    <m/>
    <m/>
    <m/>
    <n v="1"/>
  </r>
  <r>
    <x v="158"/>
    <x v="5"/>
    <d v="2019-06-04T00:00:00"/>
    <n v="80153"/>
    <n v="3.8849999999999998"/>
    <n v="0"/>
    <n v="1.4330000000000001"/>
    <n v="42.78"/>
    <n v="147940"/>
    <n v="5608.4893000000002"/>
    <n v="769"/>
    <n v="211.84700000000001"/>
    <n v="2019895"/>
    <n v="5.51"/>
    <d v="1899-12-30T00:05:19"/>
    <n v="319"/>
    <x v="1"/>
    <x v="1"/>
    <x v="0"/>
    <m/>
    <m/>
    <n v="1"/>
    <n v="1"/>
    <m/>
    <n v="1"/>
    <m/>
    <n v="1"/>
    <m/>
    <m/>
    <m/>
    <m/>
    <m/>
    <m/>
    <m/>
  </r>
  <r>
    <x v="159"/>
    <x v="3"/>
    <d v="2019-05-31T00:00:00"/>
    <n v="23516"/>
    <n v="4.24"/>
    <n v="0"/>
    <n v="1.4750000000000001"/>
    <n v="29.36"/>
    <n v="43560"/>
    <n v="2241.9522999999999"/>
    <n v="166"/>
    <n v="64.23"/>
    <n v="1155267"/>
    <n v="2.7"/>
    <d v="1899-12-30T00:10:31"/>
    <n v="631"/>
    <x v="2"/>
    <x v="1"/>
    <x v="0"/>
    <n v="1"/>
    <n v="1"/>
    <m/>
    <n v="1"/>
    <n v="1"/>
    <n v="1"/>
    <m/>
    <m/>
    <n v="1"/>
    <m/>
    <m/>
    <m/>
    <m/>
    <m/>
    <m/>
  </r>
  <r>
    <x v="160"/>
    <x v="5"/>
    <d v="2019-05-28T00:00:00"/>
    <n v="233678"/>
    <n v="3.56"/>
    <n v="0"/>
    <n v="1.2949999999999999"/>
    <n v="33.51"/>
    <n v="434440"/>
    <n v="21352.451300000001"/>
    <n v="2324"/>
    <n v="561.55999999999995"/>
    <n v="4623178"/>
    <n v="5.53"/>
    <d v="1899-12-30T00:08:48"/>
    <n v="528"/>
    <x v="1"/>
    <x v="1"/>
    <x v="0"/>
    <m/>
    <m/>
    <m/>
    <n v="1"/>
    <m/>
    <n v="1"/>
    <m/>
    <n v="1"/>
    <m/>
    <m/>
    <m/>
    <m/>
    <m/>
    <m/>
    <m/>
  </r>
  <r>
    <x v="161"/>
    <x v="3"/>
    <d v="2019-05-27T00:00:00"/>
    <n v="20512"/>
    <n v="4.2809999999999997"/>
    <n v="0"/>
    <n v="1.6379999999999999"/>
    <n v="19.420000000000002"/>
    <n v="35068"/>
    <n v="3234.5540999999998"/>
    <n v="25"/>
    <n v="57.430999999999997"/>
    <n v="1475702"/>
    <n v="1.66"/>
    <d v="1899-12-30T00:28:30"/>
    <n v="1710"/>
    <x v="3"/>
    <x v="1"/>
    <x v="0"/>
    <n v="1"/>
    <n v="1"/>
    <m/>
    <m/>
    <m/>
    <n v="1"/>
    <m/>
    <m/>
    <m/>
    <m/>
    <m/>
    <m/>
    <m/>
    <m/>
    <m/>
  </r>
  <r>
    <x v="162"/>
    <x v="4"/>
    <d v="2019-05-21T00:00:00"/>
    <n v="382496"/>
    <n v="4.0860000000000003"/>
    <n v="13077"/>
    <n v="1.423"/>
    <n v="37.81"/>
    <n v="724495"/>
    <n v="33174.972399999999"/>
    <n v="8777"/>
    <n v="1028.673"/>
    <n v="9746319"/>
    <n v="4.8600000000000003"/>
    <d v="1899-12-30T00:07:15"/>
    <n v="435"/>
    <x v="1"/>
    <x v="1"/>
    <x v="0"/>
    <m/>
    <m/>
    <m/>
    <m/>
    <m/>
    <n v="1"/>
    <m/>
    <n v="1"/>
    <m/>
    <m/>
    <m/>
    <m/>
    <m/>
    <m/>
    <m/>
  </r>
  <r>
    <x v="163"/>
    <x v="5"/>
    <d v="2019-05-18T00:00:00"/>
    <n v="325050"/>
    <n v="4.6710000000000003"/>
    <n v="1222"/>
    <n v="2.1"/>
    <n v="28.93"/>
    <n v="491510"/>
    <n v="33454.5864"/>
    <n v="5264"/>
    <n v="1030.329"/>
    <n v="7661779"/>
    <n v="4.67"/>
    <d v="1899-12-30T00:14:07"/>
    <n v="847"/>
    <x v="2"/>
    <x v="1"/>
    <x v="0"/>
    <n v="1"/>
    <n v="1"/>
    <m/>
    <m/>
    <n v="1"/>
    <n v="1"/>
    <n v="1"/>
    <n v="1"/>
    <m/>
    <m/>
    <m/>
    <m/>
    <m/>
    <n v="1"/>
    <m/>
  </r>
  <r>
    <x v="164"/>
    <x v="5"/>
    <d v="2019-05-07T00:00:00"/>
    <n v="136417"/>
    <n v="4.7889999999999997"/>
    <n v="0"/>
    <n v="1.8520000000000001"/>
    <n v="54.8"/>
    <n v="227609"/>
    <n v="7553.3909000000003"/>
    <n v="1350"/>
    <n v="420.92399999999998"/>
    <n v="2700820"/>
    <n v="5.21"/>
    <d v="1899-12-30T00:03:38"/>
    <n v="218"/>
    <x v="1"/>
    <x v="1"/>
    <x v="0"/>
    <m/>
    <m/>
    <m/>
    <m/>
    <m/>
    <n v="1"/>
    <m/>
    <n v="1"/>
    <m/>
    <m/>
    <m/>
    <m/>
    <m/>
    <m/>
    <n v="1"/>
  </r>
  <r>
    <x v="165"/>
    <x v="3"/>
    <d v="2019-05-02T00:00:00"/>
    <n v="28354"/>
    <n v="3.5819999999999999"/>
    <n v="0"/>
    <n v="1.1639999999999999"/>
    <n v="24.16"/>
    <n v="56610"/>
    <n v="3290.6797000000001"/>
    <n v="244"/>
    <n v="65.879000000000005"/>
    <n v="1304854"/>
    <n v="3.17"/>
    <d v="1899-12-30T00:14:26"/>
    <n v="866"/>
    <x v="2"/>
    <x v="1"/>
    <x v="0"/>
    <n v="1"/>
    <n v="1"/>
    <m/>
    <n v="1"/>
    <n v="1"/>
    <n v="1"/>
    <m/>
    <n v="1"/>
    <m/>
    <m/>
    <m/>
    <m/>
    <m/>
    <m/>
    <m/>
  </r>
  <r>
    <x v="166"/>
    <x v="5"/>
    <d v="2019-04-23T00:00:00"/>
    <n v="1007718"/>
    <n v="3.8290000000000002"/>
    <n v="3207"/>
    <n v="1.6739999999999999"/>
    <n v="31.17"/>
    <n v="1593554"/>
    <n v="144452.07889999999"/>
    <n v="29403"/>
    <n v="2665.9029999999998"/>
    <n v="28326221"/>
    <n v="4.0199999999999996"/>
    <d v="1899-12-30T00:17:27"/>
    <n v="1047"/>
    <x v="2"/>
    <x v="1"/>
    <x v="0"/>
    <m/>
    <m/>
    <m/>
    <n v="1"/>
    <m/>
    <n v="1"/>
    <m/>
    <n v="1"/>
    <m/>
    <m/>
    <m/>
    <m/>
    <m/>
    <m/>
    <m/>
  </r>
  <r>
    <x v="167"/>
    <x v="3"/>
    <d v="2019-04-16T00:00:00"/>
    <n v="27063"/>
    <n v="3.4390000000000001"/>
    <n v="0"/>
    <n v="1.169"/>
    <n v="51.8"/>
    <n v="53167"/>
    <n v="2463.3368999999998"/>
    <n v="334"/>
    <n v="62.119"/>
    <n v="1445799"/>
    <n v="2.57"/>
    <d v="1899-12-30T00:05:22"/>
    <n v="322"/>
    <x v="1"/>
    <x v="1"/>
    <x v="0"/>
    <m/>
    <m/>
    <m/>
    <m/>
    <m/>
    <n v="1"/>
    <m/>
    <m/>
    <m/>
    <m/>
    <m/>
    <m/>
    <m/>
    <m/>
    <m/>
  </r>
  <r>
    <x v="168"/>
    <x v="4"/>
    <d v="2019-04-09T00:00:00"/>
    <n v="2781039"/>
    <n v="3.052"/>
    <n v="3460"/>
    <n v="1.321"/>
    <n v="13.99"/>
    <n v="4858464"/>
    <n v="202407.06200000001"/>
    <n v="149719"/>
    <n v="6408.9260000000004"/>
    <n v="62191081"/>
    <n v="5.18"/>
    <d v="1899-12-30T00:17:52"/>
    <n v="1072"/>
    <x v="0"/>
    <x v="1"/>
    <x v="0"/>
    <m/>
    <m/>
    <m/>
    <m/>
    <m/>
    <m/>
    <m/>
    <m/>
    <m/>
    <m/>
    <m/>
    <m/>
    <m/>
    <m/>
    <m/>
  </r>
  <r>
    <x v="169"/>
    <x v="5"/>
    <d v="2019-04-02T00:00:00"/>
    <n v="30871"/>
    <n v="4.8630000000000004"/>
    <n v="0"/>
    <n v="1.7470000000000001"/>
    <n v="44.73"/>
    <n v="56324"/>
    <n v="2379.5621000000001"/>
    <n v="348"/>
    <n v="98.320999999999998"/>
    <n v="1623094"/>
    <n v="2.44"/>
    <d v="1899-12-30T00:05:40"/>
    <n v="340"/>
    <x v="1"/>
    <x v="1"/>
    <x v="0"/>
    <m/>
    <m/>
    <m/>
    <m/>
    <m/>
    <n v="1"/>
    <m/>
    <n v="1"/>
    <m/>
    <m/>
    <m/>
    <m/>
    <m/>
    <m/>
    <n v="1"/>
  </r>
  <r>
    <x v="170"/>
    <x v="3"/>
    <d v="2019-03-30T00:00:00"/>
    <n v="25196"/>
    <n v="3.7010000000000001"/>
    <n v="0"/>
    <n v="1.2509999999999999"/>
    <n v="25.29"/>
    <n v="47320"/>
    <n v="2563.1556999999998"/>
    <n v="259"/>
    <n v="59.161000000000001"/>
    <n v="1316093"/>
    <n v="2.6"/>
    <d v="1899-12-30T00:12:51"/>
    <n v="771"/>
    <x v="2"/>
    <x v="1"/>
    <x v="0"/>
    <n v="1"/>
    <n v="1"/>
    <m/>
    <n v="1"/>
    <n v="1"/>
    <n v="1"/>
    <m/>
    <m/>
    <n v="1"/>
    <m/>
    <m/>
    <m/>
    <m/>
    <m/>
    <m/>
  </r>
  <r>
    <x v="171"/>
    <x v="5"/>
    <d v="2019-03-26T00:00:00"/>
    <n v="302311"/>
    <n v="3.6640000000000001"/>
    <n v="3395"/>
    <n v="1.319"/>
    <n v="38.869999999999997"/>
    <n v="539546"/>
    <n v="35065.922500000001"/>
    <n v="5335"/>
    <n v="711.05"/>
    <n v="9572582"/>
    <n v="4.1500000000000004"/>
    <d v="1899-12-30T00:10:02"/>
    <n v="602"/>
    <x v="2"/>
    <x v="1"/>
    <x v="0"/>
    <m/>
    <m/>
    <m/>
    <m/>
    <m/>
    <n v="1"/>
    <m/>
    <n v="1"/>
    <m/>
    <m/>
    <m/>
    <m/>
    <m/>
    <m/>
    <n v="1"/>
  </r>
  <r>
    <x v="172"/>
    <x v="5"/>
    <d v="2019-03-18T00:00:00"/>
    <n v="71433"/>
    <n v="4.7190000000000003"/>
    <n v="0"/>
    <n v="2.0169999999999999"/>
    <n v="46.4"/>
    <n v="109335"/>
    <n v="4453.143"/>
    <n v="1093"/>
    <n v="220.18100000000001"/>
    <n v="1950083"/>
    <n v="4.22"/>
    <d v="1899-12-30T00:05:16"/>
    <n v="316"/>
    <x v="1"/>
    <x v="1"/>
    <x v="0"/>
    <n v="1"/>
    <n v="1"/>
    <m/>
    <n v="1"/>
    <n v="1"/>
    <n v="1"/>
    <m/>
    <m/>
    <m/>
    <m/>
    <m/>
    <m/>
    <m/>
    <m/>
    <m/>
  </r>
  <r>
    <x v="173"/>
    <x v="6"/>
    <d v="2019-03-12T00:00:00"/>
    <n v="49485"/>
    <n v="3.2909999999999999"/>
    <n v="0"/>
    <n v="1.2490000000000001"/>
    <n v="36.83"/>
    <n v="81373"/>
    <n v="5294.9268000000002"/>
    <n v="562"/>
    <n v="101.60899999999999"/>
    <n v="820519"/>
    <n v="6.93"/>
    <m/>
    <m/>
    <x v="0"/>
    <x v="1"/>
    <x v="0"/>
    <m/>
    <m/>
    <m/>
    <m/>
    <m/>
    <m/>
    <m/>
    <m/>
    <m/>
    <m/>
    <m/>
    <m/>
    <m/>
    <m/>
    <m/>
  </r>
  <r>
    <x v="174"/>
    <x v="5"/>
    <d v="2019-03-05T00:00:00"/>
    <n v="34747"/>
    <n v="4.1239999999999997"/>
    <n v="274"/>
    <n v="1.655"/>
    <n v="44.45"/>
    <n v="56615"/>
    <n v="4082.4407000000001"/>
    <n v="283"/>
    <n v="93.662999999999997"/>
    <n v="1344924"/>
    <n v="3.07"/>
    <d v="1899-12-30T00:09:44"/>
    <n v="584"/>
    <x v="1"/>
    <x v="1"/>
    <x v="0"/>
    <m/>
    <m/>
    <m/>
    <m/>
    <m/>
    <n v="1"/>
    <m/>
    <n v="1"/>
    <m/>
    <m/>
    <m/>
    <m/>
    <m/>
    <m/>
    <m/>
  </r>
  <r>
    <x v="175"/>
    <x v="4"/>
    <d v="2019-02-24T00:00:00"/>
    <n v="213875"/>
    <n v="3.1859999999999999"/>
    <n v="1377"/>
    <n v="0.89800000000000002"/>
    <n v="34.6"/>
    <n v="488138"/>
    <n v="38615.859400000001"/>
    <n v="7988"/>
    <n v="437.18299999999999"/>
    <n v="8921474"/>
    <n v="3.41"/>
    <d v="1899-12-30T00:13:43"/>
    <n v="823"/>
    <x v="2"/>
    <x v="1"/>
    <x v="0"/>
    <n v="1"/>
    <m/>
    <m/>
    <m/>
    <n v="1"/>
    <n v="1"/>
    <m/>
    <m/>
    <m/>
    <n v="1"/>
    <m/>
    <m/>
    <m/>
    <n v="1"/>
    <m/>
  </r>
  <r>
    <x v="176"/>
    <x v="5"/>
    <d v="2019-02-18T00:00:00"/>
    <n v="106868"/>
    <n v="4.5110000000000001"/>
    <n v="1674"/>
    <n v="1.2250000000000001"/>
    <n v="37"/>
    <n v="267827"/>
    <n v="13434.830400000001"/>
    <n v="1344"/>
    <n v="327.89400000000001"/>
    <n v="3305855"/>
    <n v="5.81"/>
    <d v="1899-12-30T00:08:08"/>
    <n v="488"/>
    <x v="1"/>
    <x v="1"/>
    <x v="0"/>
    <m/>
    <m/>
    <n v="1"/>
    <m/>
    <m/>
    <n v="1"/>
    <m/>
    <n v="1"/>
    <m/>
    <m/>
    <m/>
    <m/>
    <m/>
    <m/>
    <n v="1"/>
  </r>
  <r>
    <x v="177"/>
    <x v="6"/>
    <d v="2019-02-14T00:00:00"/>
    <n v="5595"/>
    <n v="3.81"/>
    <n v="0"/>
    <n v="0.70099999999999996"/>
    <n v="10.94"/>
    <n v="11869"/>
    <n v="999.12149999999997"/>
    <n v="38"/>
    <n v="8.3149999999999995"/>
    <n v="782426"/>
    <n v="1.1599999999999999"/>
    <m/>
    <m/>
    <x v="0"/>
    <x v="1"/>
    <x v="1"/>
    <m/>
    <m/>
    <m/>
    <m/>
    <m/>
    <m/>
    <m/>
    <m/>
    <m/>
    <m/>
    <m/>
    <m/>
    <m/>
    <m/>
    <m/>
  </r>
  <r>
    <x v="178"/>
    <x v="1"/>
    <d v="2019-02-11T00:00:00"/>
    <n v="480301"/>
    <n v="4.6890000000000001"/>
    <n v="0"/>
    <n v="2.254"/>
    <n v="29.29"/>
    <n v="622494"/>
    <n v="44564.656999999999"/>
    <n v="12003"/>
    <n v="1400.0989999999999"/>
    <n v="11695694"/>
    <n v="3.39"/>
    <d v="1899-12-30T00:14:40"/>
    <n v="880"/>
    <x v="2"/>
    <x v="1"/>
    <x v="0"/>
    <n v="1"/>
    <n v="1"/>
    <m/>
    <n v="1"/>
    <n v="1"/>
    <n v="1"/>
    <m/>
    <m/>
    <n v="1"/>
    <m/>
    <m/>
    <m/>
    <m/>
    <m/>
    <m/>
  </r>
  <r>
    <x v="179"/>
    <x v="5"/>
    <d v="2019-02-07T00:00:00"/>
    <n v="7090"/>
    <n v="4.1719999999999997"/>
    <n v="0"/>
    <n v="0.66600000000000004"/>
    <n v="35.700000000000003"/>
    <n v="29647"/>
    <n v="2102.3557000000001"/>
    <n v="204"/>
    <n v="19.73"/>
    <n v="948111"/>
    <n v="2.21"/>
    <d v="1899-12-30T00:11:55"/>
    <n v="715"/>
    <x v="2"/>
    <x v="1"/>
    <x v="0"/>
    <m/>
    <m/>
    <m/>
    <m/>
    <m/>
    <n v="1"/>
    <m/>
    <n v="1"/>
    <m/>
    <m/>
    <m/>
    <m/>
    <m/>
    <m/>
    <m/>
  </r>
  <r>
    <x v="180"/>
    <x v="4"/>
    <d v="2019-01-31T00:00:00"/>
    <n v="0"/>
    <m/>
    <n v="0"/>
    <n v="0"/>
    <n v="28.53"/>
    <n v="301729"/>
    <n v="18674.465100000001"/>
    <n v="4410"/>
    <n v="0"/>
    <n v="4300589"/>
    <n v="4.59"/>
    <d v="1899-12-30T00:13:01"/>
    <n v="781"/>
    <x v="2"/>
    <x v="1"/>
    <x v="0"/>
    <n v="1"/>
    <m/>
    <m/>
    <m/>
    <n v="1"/>
    <n v="1"/>
    <m/>
    <n v="1"/>
    <m/>
    <m/>
    <m/>
    <m/>
    <m/>
    <n v="1"/>
    <m/>
  </r>
  <r>
    <x v="181"/>
    <x v="5"/>
    <d v="2019-01-20T00:00:00"/>
    <n v="341517"/>
    <n v="5.1360000000000001"/>
    <n v="10255"/>
    <n v="2.524"/>
    <n v="40.69"/>
    <n v="459260"/>
    <n v="27458.887900000002"/>
    <n v="4730"/>
    <n v="1159.242"/>
    <n v="6561790"/>
    <n v="5.26"/>
    <d v="1899-12-30T00:08:49"/>
    <n v="529"/>
    <x v="1"/>
    <x v="1"/>
    <x v="0"/>
    <n v="1"/>
    <n v="1"/>
    <m/>
    <m/>
    <n v="1"/>
    <n v="1"/>
    <m/>
    <m/>
    <m/>
    <m/>
    <m/>
    <m/>
    <m/>
    <n v="1"/>
    <m/>
  </r>
  <r>
    <x v="182"/>
    <x v="6"/>
    <d v="2018-12-29T00:00:00"/>
    <n v="14995"/>
    <n v="3.8069999999999999"/>
    <n v="0"/>
    <n v="0.52100000000000002"/>
    <n v="42.42"/>
    <n v="31936"/>
    <n v="718.77279999999996"/>
    <n v="119"/>
    <n v="16.614999999999998"/>
    <n v="828791"/>
    <n v="2.75"/>
    <m/>
    <m/>
    <x v="0"/>
    <x v="1"/>
    <x v="0"/>
    <n v="1"/>
    <m/>
    <n v="1"/>
    <m/>
    <m/>
    <n v="1"/>
    <n v="1"/>
    <m/>
    <m/>
    <m/>
    <m/>
    <m/>
    <m/>
    <m/>
    <m/>
  </r>
  <r>
    <x v="183"/>
    <x v="6"/>
    <d v="2018-12-22T00:00:00"/>
    <n v="511547"/>
    <n v="3.952"/>
    <n v="3743"/>
    <n v="1.879"/>
    <n v="38.64"/>
    <n v="740273"/>
    <n v="59110.867299999998"/>
    <n v="11628"/>
    <n v="1388.6489999999999"/>
    <n v="14014986"/>
    <n v="3.53"/>
    <m/>
    <m/>
    <x v="0"/>
    <x v="1"/>
    <x v="0"/>
    <n v="1"/>
    <m/>
    <m/>
    <m/>
    <n v="1"/>
    <n v="1"/>
    <m/>
    <m/>
    <m/>
    <n v="1"/>
    <m/>
    <m/>
    <m/>
    <m/>
    <m/>
  </r>
  <r>
    <x v="184"/>
    <x v="6"/>
    <d v="2018-12-16T00:00:00"/>
    <n v="11788"/>
    <n v="5.1040000000000001"/>
    <n v="0"/>
    <n v="1.5209999999999999"/>
    <n v="45.99"/>
    <n v="26393"/>
    <n v="842.92089999999996"/>
    <n v="103"/>
    <n v="40.113999999999997"/>
    <n v="768028"/>
    <n v="2.57"/>
    <m/>
    <m/>
    <x v="0"/>
    <x v="1"/>
    <x v="0"/>
    <n v="1"/>
    <m/>
    <m/>
    <m/>
    <n v="1"/>
    <n v="1"/>
    <m/>
    <n v="1"/>
    <m/>
    <n v="1"/>
    <m/>
    <m/>
    <m/>
    <m/>
    <m/>
  </r>
  <r>
    <x v="185"/>
    <x v="6"/>
    <d v="2018-12-08T00:00:00"/>
    <n v="23043"/>
    <n v="3.9580000000000002"/>
    <n v="0"/>
    <n v="1.6180000000000001"/>
    <n v="20.05"/>
    <n v="38765"/>
    <n v="4892.8780999999999"/>
    <n v="388"/>
    <n v="62.670999999999999"/>
    <n v="1034429"/>
    <n v="2.25"/>
    <m/>
    <m/>
    <x v="0"/>
    <x v="1"/>
    <x v="0"/>
    <n v="1"/>
    <n v="1"/>
    <m/>
    <m/>
    <n v="1"/>
    <n v="1"/>
    <m/>
    <m/>
    <m/>
    <m/>
    <m/>
    <m/>
    <m/>
    <m/>
    <m/>
  </r>
  <r>
    <x v="186"/>
    <x v="6"/>
    <d v="2018-12-03T00:00:00"/>
    <n v="114813"/>
    <n v="4"/>
    <n v="0"/>
    <n v="1.6319999999999999"/>
    <n v="53.23"/>
    <n v="193560"/>
    <n v="8614.9915000000001"/>
    <n v="1456"/>
    <n v="315.68900000000002"/>
    <n v="4676083"/>
    <n v="3.22"/>
    <m/>
    <m/>
    <x v="0"/>
    <x v="1"/>
    <x v="0"/>
    <n v="1"/>
    <m/>
    <m/>
    <n v="1"/>
    <n v="1"/>
    <n v="1"/>
    <m/>
    <m/>
    <m/>
    <n v="1"/>
    <m/>
    <m/>
    <m/>
    <m/>
    <m/>
  </r>
  <r>
    <x v="187"/>
    <x v="6"/>
    <d v="2018-11-29T00:00:00"/>
    <n v="203572"/>
    <n v="3.7429999999999999"/>
    <n v="0"/>
    <n v="1.476"/>
    <n v="40.65"/>
    <n v="353908"/>
    <n v="17864.2533"/>
    <n v="4763"/>
    <n v="522.02800000000002"/>
    <n v="4352927"/>
    <n v="5.43"/>
    <m/>
    <m/>
    <x v="0"/>
    <x v="1"/>
    <x v="0"/>
    <m/>
    <m/>
    <n v="1"/>
    <m/>
    <m/>
    <n v="1"/>
    <m/>
    <n v="1"/>
    <m/>
    <m/>
    <m/>
    <m/>
    <m/>
    <m/>
    <n v="1"/>
  </r>
  <r>
    <x v="188"/>
    <x v="6"/>
    <d v="2018-11-23T00:00:00"/>
    <n v="40554"/>
    <n v="3.6440000000000001"/>
    <n v="0"/>
    <n v="1.2310000000000001"/>
    <n v="45.69"/>
    <n v="82867"/>
    <n v="3775.5846000000001"/>
    <n v="493"/>
    <n v="101.914"/>
    <n v="1259293"/>
    <n v="3.5"/>
    <m/>
    <m/>
    <x v="0"/>
    <x v="1"/>
    <x v="0"/>
    <m/>
    <m/>
    <n v="1"/>
    <n v="1"/>
    <m/>
    <n v="1"/>
    <m/>
    <n v="1"/>
    <m/>
    <m/>
    <m/>
    <m/>
    <m/>
    <m/>
    <n v="1"/>
  </r>
  <r>
    <x v="189"/>
    <x v="6"/>
    <d v="2018-11-19T00:00:00"/>
    <n v="111062"/>
    <n v="5.343"/>
    <n v="1329"/>
    <n v="3.2719999999999998"/>
    <n v="36.840000000000003"/>
    <n v="176159"/>
    <n v="13320.739100000001"/>
    <n v="1557"/>
    <n v="576.30899999999997"/>
    <n v="4318712"/>
    <n v="2.72"/>
    <m/>
    <m/>
    <x v="0"/>
    <x v="1"/>
    <x v="0"/>
    <m/>
    <m/>
    <m/>
    <m/>
    <m/>
    <n v="1"/>
    <m/>
    <n v="1"/>
    <m/>
    <m/>
    <m/>
    <m/>
    <m/>
    <m/>
    <m/>
  </r>
  <r>
    <x v="190"/>
    <x v="6"/>
    <d v="2018-11-12T00:00:00"/>
    <n v="7704"/>
    <n v="3.653"/>
    <n v="0"/>
    <n v="1.4330000000000001"/>
    <n v="56.14"/>
    <n v="13293"/>
    <n v="711.04840000000002"/>
    <n v="29"/>
    <n v="18.992000000000001"/>
    <n v="372947"/>
    <n v="2.72"/>
    <m/>
    <m/>
    <x v="0"/>
    <x v="1"/>
    <x v="1"/>
    <m/>
    <m/>
    <m/>
    <m/>
    <m/>
    <m/>
    <m/>
    <m/>
    <m/>
    <m/>
    <m/>
    <m/>
    <m/>
    <m/>
    <m/>
  </r>
  <r>
    <x v="191"/>
    <x v="6"/>
    <d v="2018-11-05T00:00:00"/>
    <n v="2669"/>
    <n v="5.0780000000000003"/>
    <n v="0"/>
    <n v="1.893"/>
    <n v="28.4"/>
    <n v="4821"/>
    <n v="208.81229999999999"/>
    <n v="15"/>
    <n v="9.1120000000000001"/>
    <n v="513964"/>
    <n v="0.59"/>
    <m/>
    <m/>
    <x v="0"/>
    <x v="1"/>
    <x v="1"/>
    <m/>
    <m/>
    <m/>
    <m/>
    <m/>
    <m/>
    <m/>
    <m/>
    <m/>
    <m/>
    <m/>
    <m/>
    <m/>
    <m/>
    <m/>
  </r>
  <r>
    <x v="192"/>
    <x v="6"/>
    <d v="2018-11-01T00:00:00"/>
    <n v="55924"/>
    <n v="4.1310000000000002"/>
    <n v="466"/>
    <n v="1.5269999999999999"/>
    <n v="28.85"/>
    <n v="103737"/>
    <n v="9642.6640000000007"/>
    <n v="611"/>
    <n v="158.35400000000001"/>
    <n v="2924977"/>
    <n v="2.63"/>
    <m/>
    <m/>
    <x v="0"/>
    <x v="1"/>
    <x v="0"/>
    <m/>
    <m/>
    <m/>
    <m/>
    <m/>
    <m/>
    <m/>
    <m/>
    <m/>
    <m/>
    <m/>
    <m/>
    <m/>
    <m/>
    <m/>
  </r>
  <r>
    <x v="193"/>
    <x v="6"/>
    <d v="2018-10-29T00:00:00"/>
    <n v="82914"/>
    <n v="3.88"/>
    <n v="0"/>
    <n v="1.4750000000000001"/>
    <n v="45.27"/>
    <n v="152914"/>
    <n v="8826.8467999999993"/>
    <n v="787"/>
    <n v="225.459"/>
    <n v="2752440"/>
    <n v="3.94"/>
    <m/>
    <m/>
    <x v="0"/>
    <x v="1"/>
    <x v="0"/>
    <m/>
    <m/>
    <m/>
    <m/>
    <m/>
    <m/>
    <m/>
    <m/>
    <m/>
    <m/>
    <m/>
    <m/>
    <m/>
    <m/>
    <m/>
  </r>
  <r>
    <x v="194"/>
    <x v="6"/>
    <d v="2018-10-25T00:00:00"/>
    <n v="8782"/>
    <n v="4.6399999999999997"/>
    <n v="0"/>
    <n v="2.125"/>
    <n v="33.159999999999997"/>
    <n v="17483"/>
    <n v="1191.7226000000001"/>
    <n v="74"/>
    <n v="37.14"/>
    <n v="682104"/>
    <n v="1.82"/>
    <m/>
    <m/>
    <x v="0"/>
    <x v="1"/>
    <x v="0"/>
    <m/>
    <m/>
    <m/>
    <m/>
    <m/>
    <m/>
    <m/>
    <m/>
    <m/>
    <m/>
    <m/>
    <m/>
    <m/>
    <m/>
    <m/>
  </r>
  <r>
    <x v="195"/>
    <x v="6"/>
    <d v="2018-10-21T00:00:00"/>
    <n v="142031"/>
    <n v="3.6909999999999998"/>
    <n v="0"/>
    <n v="1.54"/>
    <n v="33.700000000000003"/>
    <n v="224132"/>
    <n v="17521.671300000002"/>
    <n v="2444"/>
    <n v="344.57799999999997"/>
    <n v="4341212"/>
    <n v="3.6"/>
    <m/>
    <m/>
    <x v="0"/>
    <x v="1"/>
    <x v="0"/>
    <m/>
    <m/>
    <m/>
    <m/>
    <m/>
    <m/>
    <m/>
    <m/>
    <m/>
    <m/>
    <m/>
    <m/>
    <m/>
    <m/>
    <m/>
  </r>
  <r>
    <x v="196"/>
    <x v="6"/>
    <d v="2018-10-16T00:00:00"/>
    <n v="116877"/>
    <n v="5.8570000000000002"/>
    <n v="0"/>
    <n v="2.6040000000000001"/>
    <n v="45.49"/>
    <n v="171322"/>
    <n v="5563.1745000000001"/>
    <n v="847"/>
    <n v="445.73399999999998"/>
    <n v="1434807"/>
    <n v="7.17"/>
    <m/>
    <m/>
    <x v="0"/>
    <x v="1"/>
    <x v="0"/>
    <m/>
    <m/>
    <m/>
    <m/>
    <m/>
    <m/>
    <m/>
    <m/>
    <m/>
    <m/>
    <m/>
    <m/>
    <m/>
    <m/>
    <m/>
  </r>
  <r>
    <x v="197"/>
    <x v="6"/>
    <d v="2018-10-13T00:00:00"/>
    <n v="4301"/>
    <n v="2.7869999999999999"/>
    <n v="0"/>
    <n v="0.752"/>
    <n v="28.54"/>
    <n v="10660"/>
    <n v="908.42449999999997"/>
    <n v="52"/>
    <n v="8.0060000000000002"/>
    <n v="571611"/>
    <n v="1.35"/>
    <m/>
    <m/>
    <x v="0"/>
    <x v="1"/>
    <x v="1"/>
    <m/>
    <m/>
    <m/>
    <m/>
    <m/>
    <m/>
    <m/>
    <m/>
    <m/>
    <m/>
    <m/>
    <m/>
    <m/>
    <m/>
    <m/>
  </r>
  <r>
    <x v="198"/>
    <x v="6"/>
    <d v="2018-10-10T00:00:00"/>
    <n v="119318"/>
    <n v="4.5860000000000003"/>
    <n v="0"/>
    <n v="1.9019999999999999"/>
    <n v="30.81"/>
    <n v="187381"/>
    <n v="9173.7746999999999"/>
    <n v="1472"/>
    <n v="356.334"/>
    <n v="2323782"/>
    <n v="5.73"/>
    <m/>
    <m/>
    <x v="0"/>
    <x v="1"/>
    <x v="0"/>
    <m/>
    <m/>
    <m/>
    <m/>
    <m/>
    <m/>
    <m/>
    <m/>
    <m/>
    <m/>
    <m/>
    <m/>
    <m/>
    <m/>
    <m/>
  </r>
  <r>
    <x v="199"/>
    <x v="6"/>
    <d v="2018-10-09T00:00:00"/>
    <n v="2693"/>
    <n v="4.9939999999999998"/>
    <n v="0"/>
    <n v="1.5640000000000001"/>
    <n v="65.650000000000006"/>
    <n v="5860"/>
    <n v="173.11699999999999"/>
    <n v="13"/>
    <n v="9.1560000000000006"/>
    <n v="436850"/>
    <n v="1.03"/>
    <m/>
    <m/>
    <x v="0"/>
    <x v="1"/>
    <x v="1"/>
    <m/>
    <m/>
    <m/>
    <m/>
    <m/>
    <m/>
    <m/>
    <m/>
    <m/>
    <m/>
    <m/>
    <m/>
    <m/>
    <m/>
    <m/>
  </r>
  <r>
    <x v="200"/>
    <x v="6"/>
    <d v="2018-10-08T00:00:00"/>
    <n v="2011"/>
    <n v="4.7510000000000003"/>
    <n v="0"/>
    <n v="1.593"/>
    <n v="37.04"/>
    <n v="4020"/>
    <n v="251.9264"/>
    <n v="28"/>
    <n v="6.3920000000000003"/>
    <n v="430675"/>
    <n v="0.6"/>
    <m/>
    <m/>
    <x v="0"/>
    <x v="1"/>
    <x v="1"/>
    <m/>
    <m/>
    <m/>
    <m/>
    <m/>
    <m/>
    <m/>
    <m/>
    <m/>
    <m/>
    <m/>
    <m/>
    <m/>
    <m/>
    <m/>
  </r>
  <r>
    <x v="201"/>
    <x v="6"/>
    <d v="2018-10-04T00:00:00"/>
    <n v="0"/>
    <m/>
    <n v="0"/>
    <n v="0"/>
    <n v="29.88"/>
    <n v="11669"/>
    <n v="573.47829999999999"/>
    <n v="86"/>
    <n v="0"/>
    <n v="491156"/>
    <n v="1.75"/>
    <m/>
    <m/>
    <x v="0"/>
    <x v="1"/>
    <x v="1"/>
    <m/>
    <m/>
    <m/>
    <m/>
    <m/>
    <m/>
    <m/>
    <m/>
    <m/>
    <m/>
    <m/>
    <m/>
    <m/>
    <m/>
    <m/>
  </r>
  <r>
    <x v="202"/>
    <x v="6"/>
    <d v="2018-10-01T00:00:00"/>
    <n v="3092"/>
    <n v="4.5529999999999999"/>
    <n v="0"/>
    <n v="1.206"/>
    <n v="37.26"/>
    <n v="7473"/>
    <n v="603.99760000000003"/>
    <n v="27"/>
    <n v="9.0030000000000001"/>
    <n v="433432"/>
    <n v="1.23"/>
    <m/>
    <m/>
    <x v="0"/>
    <x v="1"/>
    <x v="1"/>
    <m/>
    <m/>
    <m/>
    <m/>
    <m/>
    <m/>
    <m/>
    <m/>
    <m/>
    <m/>
    <m/>
    <m/>
    <m/>
    <m/>
    <m/>
  </r>
  <r>
    <x v="137"/>
    <x v="6"/>
    <d v="2018-09-26T00:00:00"/>
    <n v="344767"/>
    <n v="4.1740000000000004"/>
    <n v="0"/>
    <n v="1.4930000000000001"/>
    <n v="35.200000000000003"/>
    <n v="671587"/>
    <n v="24098.117399999999"/>
    <n v="4283"/>
    <n v="1002.6130000000001"/>
    <n v="9168817"/>
    <n v="5.07"/>
    <m/>
    <m/>
    <x v="0"/>
    <x v="1"/>
    <x v="0"/>
    <m/>
    <m/>
    <m/>
    <m/>
    <m/>
    <m/>
    <m/>
    <m/>
    <m/>
    <m/>
    <m/>
    <m/>
    <m/>
    <m/>
    <m/>
  </r>
  <r>
    <x v="203"/>
    <x v="6"/>
    <d v="2018-09-24T00:00:00"/>
    <n v="21912"/>
    <n v="3.468"/>
    <n v="0"/>
    <n v="1.48"/>
    <n v="22.32"/>
    <n v="34361"/>
    <n v="4296.3981000000003"/>
    <n v="352"/>
    <n v="50.779000000000003"/>
    <n v="829876"/>
    <n v="2.9"/>
    <m/>
    <m/>
    <x v="0"/>
    <x v="1"/>
    <x v="0"/>
    <m/>
    <m/>
    <m/>
    <m/>
    <m/>
    <m/>
    <m/>
    <m/>
    <m/>
    <m/>
    <m/>
    <m/>
    <m/>
    <m/>
    <m/>
  </r>
  <r>
    <x v="204"/>
    <x v="6"/>
    <d v="2018-09-15T00:00:00"/>
    <n v="170106"/>
    <n v="3.6659999999999999"/>
    <n v="0"/>
    <n v="1.5860000000000001"/>
    <n v="19.940000000000001"/>
    <n v="256282"/>
    <n v="28437.666000000001"/>
    <n v="7616"/>
    <n v="405.58499999999998"/>
    <n v="5599635"/>
    <n v="3.26"/>
    <m/>
    <m/>
    <x v="0"/>
    <x v="1"/>
    <x v="0"/>
    <m/>
    <m/>
    <m/>
    <m/>
    <m/>
    <m/>
    <m/>
    <m/>
    <m/>
    <m/>
    <m/>
    <m/>
    <m/>
    <m/>
    <m/>
  </r>
  <r>
    <x v="205"/>
    <x v="6"/>
    <d v="2018-09-11T00:00:00"/>
    <n v="3431"/>
    <n v="5.2939999999999996"/>
    <n v="0"/>
    <n v="1.62"/>
    <n v="21.98"/>
    <n v="7445"/>
    <n v="460.94170000000003"/>
    <n v="32"/>
    <n v="12.04"/>
    <n v="416038"/>
    <n v="1.32"/>
    <m/>
    <m/>
    <x v="0"/>
    <x v="1"/>
    <x v="1"/>
    <m/>
    <m/>
    <m/>
    <m/>
    <m/>
    <m/>
    <m/>
    <m/>
    <m/>
    <m/>
    <m/>
    <m/>
    <m/>
    <m/>
    <m/>
  </r>
  <r>
    <x v="206"/>
    <x v="6"/>
    <d v="2018-09-01T00:00:00"/>
    <n v="3469"/>
    <n v="4.7519999999999998"/>
    <n v="32"/>
    <n v="1.111"/>
    <n v="32.1"/>
    <n v="9840"/>
    <n v="431.70310000000001"/>
    <n v="61"/>
    <n v="10.913"/>
    <n v="400757"/>
    <n v="1.39"/>
    <m/>
    <m/>
    <x v="0"/>
    <x v="1"/>
    <x v="1"/>
    <m/>
    <m/>
    <m/>
    <m/>
    <m/>
    <m/>
    <m/>
    <m/>
    <m/>
    <m/>
    <m/>
    <m/>
    <m/>
    <m/>
    <m/>
  </r>
  <r>
    <x v="207"/>
    <x v="6"/>
    <d v="2018-08-30T00:00:00"/>
    <n v="2340"/>
    <n v="4.9969999999999999"/>
    <n v="0"/>
    <n v="1.127"/>
    <n v="19.21"/>
    <n v="6860"/>
    <n v="330.5745"/>
    <n v="7"/>
    <n v="7.7270000000000003"/>
    <n v="421355"/>
    <n v="1.1399999999999999"/>
    <m/>
    <m/>
    <x v="0"/>
    <x v="1"/>
    <x v="1"/>
    <m/>
    <m/>
    <m/>
    <m/>
    <m/>
    <m/>
    <m/>
    <m/>
    <m/>
    <m/>
    <m/>
    <m/>
    <m/>
    <m/>
    <m/>
  </r>
  <r>
    <x v="208"/>
    <x v="6"/>
    <d v="2018-08-28T00:00:00"/>
    <n v="37566"/>
    <n v="5.3550000000000004"/>
    <n v="490"/>
    <n v="1.895"/>
    <n v="36.64"/>
    <n v="71885"/>
    <n v="3328.6372000000001"/>
    <n v="425"/>
    <n v="136.13800000000001"/>
    <n v="1198128"/>
    <n v="4.4000000000000004"/>
    <m/>
    <m/>
    <x v="0"/>
    <x v="1"/>
    <x v="0"/>
    <m/>
    <m/>
    <m/>
    <m/>
    <m/>
    <m/>
    <m/>
    <m/>
    <m/>
    <m/>
    <m/>
    <m/>
    <m/>
    <m/>
    <m/>
  </r>
  <r>
    <x v="209"/>
    <x v="6"/>
    <d v="2018-08-27T00:00:00"/>
    <n v="3723"/>
    <n v="4.7649999999999997"/>
    <n v="0"/>
    <n v="1.982"/>
    <n v="37.590000000000003"/>
    <n v="5968"/>
    <n v="434.91219999999998"/>
    <n v="73"/>
    <n v="11.794"/>
    <n v="400526"/>
    <n v="0.91"/>
    <m/>
    <m/>
    <x v="0"/>
    <x v="1"/>
    <x v="1"/>
    <m/>
    <m/>
    <m/>
    <m/>
    <m/>
    <m/>
    <m/>
    <m/>
    <m/>
    <m/>
    <m/>
    <m/>
    <m/>
    <m/>
    <m/>
  </r>
  <r>
    <x v="210"/>
    <x v="6"/>
    <d v="2018-08-24T00:00:00"/>
    <n v="33121"/>
    <n v="3.4390000000000001"/>
    <n v="0"/>
    <n v="1.2070000000000001"/>
    <n v="33.11"/>
    <n v="62718"/>
    <n v="4823.0529999999999"/>
    <n v="272"/>
    <n v="75.641999999999996"/>
    <n v="1439850"/>
    <n v="2.87"/>
    <m/>
    <m/>
    <x v="0"/>
    <x v="1"/>
    <x v="0"/>
    <m/>
    <m/>
    <m/>
    <m/>
    <m/>
    <m/>
    <m/>
    <m/>
    <m/>
    <m/>
    <m/>
    <m/>
    <m/>
    <m/>
    <m/>
  </r>
  <r>
    <x v="211"/>
    <x v="6"/>
    <d v="2018-08-20T00:00:00"/>
    <n v="22319"/>
    <n v="4.0060000000000002"/>
    <n v="0"/>
    <n v="1.482"/>
    <n v="18.18"/>
    <n v="39643"/>
    <n v="3830.3139000000001"/>
    <n v="502"/>
    <n v="58.639000000000003"/>
    <n v="930952"/>
    <n v="3.07"/>
    <m/>
    <m/>
    <x v="0"/>
    <x v="1"/>
    <x v="0"/>
    <m/>
    <m/>
    <m/>
    <m/>
    <m/>
    <m/>
    <m/>
    <m/>
    <m/>
    <m/>
    <m/>
    <m/>
    <m/>
    <m/>
    <m/>
  </r>
  <r>
    <x v="212"/>
    <x v="6"/>
    <d v="2018-08-19T00:00:00"/>
    <n v="12814"/>
    <n v="3.6459999999999999"/>
    <n v="0"/>
    <n v="1.2370000000000001"/>
    <n v="26.26"/>
    <n v="26084"/>
    <n v="2076.1619000000001"/>
    <n v="203"/>
    <n v="32.231000000000002"/>
    <n v="832234"/>
    <n v="2.14"/>
    <m/>
    <m/>
    <x v="0"/>
    <x v="1"/>
    <x v="0"/>
    <m/>
    <m/>
    <m/>
    <m/>
    <m/>
    <m/>
    <m/>
    <m/>
    <m/>
    <m/>
    <m/>
    <m/>
    <m/>
    <m/>
    <m/>
  </r>
  <r>
    <x v="213"/>
    <x v="6"/>
    <d v="2018-08-15T00:00:00"/>
    <n v="10662"/>
    <n v="3.3069999999999999"/>
    <n v="56"/>
    <n v="1.073"/>
    <n v="22.91"/>
    <n v="21062"/>
    <n v="1821.7539999999999"/>
    <n v="98"/>
    <n v="22.588000000000001"/>
    <n v="528690"/>
    <n v="2.35"/>
    <m/>
    <m/>
    <x v="0"/>
    <x v="1"/>
    <x v="0"/>
    <m/>
    <m/>
    <m/>
    <m/>
    <m/>
    <m/>
    <m/>
    <m/>
    <m/>
    <m/>
    <m/>
    <m/>
    <m/>
    <m/>
    <m/>
  </r>
  <r>
    <x v="214"/>
    <x v="6"/>
    <d v="2018-08-13T00:00:00"/>
    <n v="3911"/>
    <n v="4.6239999999999997"/>
    <n v="47"/>
    <n v="1.907"/>
    <n v="38.06"/>
    <n v="6500"/>
    <n v="307.84350000000001"/>
    <n v="66"/>
    <n v="12.363"/>
    <n v="359681"/>
    <n v="1.04"/>
    <m/>
    <m/>
    <x v="0"/>
    <x v="1"/>
    <x v="1"/>
    <m/>
    <m/>
    <m/>
    <m/>
    <m/>
    <m/>
    <m/>
    <m/>
    <m/>
    <m/>
    <m/>
    <m/>
    <m/>
    <m/>
    <m/>
  </r>
  <r>
    <x v="215"/>
    <x v="6"/>
    <d v="2018-08-06T00:00:00"/>
    <n v="5492"/>
    <n v="3.5289999999999999"/>
    <n v="0"/>
    <n v="1.75"/>
    <n v="23.36"/>
    <n v="7329"/>
    <n v="868.02930000000003"/>
    <n v="53"/>
    <n v="12.808"/>
    <n v="409857"/>
    <n v="1.19"/>
    <m/>
    <m/>
    <x v="0"/>
    <x v="1"/>
    <x v="1"/>
    <m/>
    <m/>
    <m/>
    <m/>
    <m/>
    <m/>
    <m/>
    <m/>
    <m/>
    <m/>
    <m/>
    <m/>
    <m/>
    <m/>
    <m/>
  </r>
  <r>
    <x v="216"/>
    <x v="6"/>
    <d v="2018-08-05T00:00:00"/>
    <n v="7030"/>
    <n v="3.3380000000000001"/>
    <n v="0"/>
    <n v="0.42399999999999999"/>
    <n v="34.99"/>
    <n v="16811"/>
    <n v="365.97590000000002"/>
    <n v="45"/>
    <n v="7.117"/>
    <n v="479510"/>
    <n v="2.76"/>
    <m/>
    <m/>
    <x v="0"/>
    <x v="1"/>
    <x v="0"/>
    <m/>
    <m/>
    <m/>
    <m/>
    <m/>
    <m/>
    <m/>
    <m/>
    <m/>
    <m/>
    <m/>
    <m/>
    <m/>
    <m/>
    <m/>
  </r>
  <r>
    <x v="217"/>
    <x v="6"/>
    <d v="2018-08-03T00:00:00"/>
    <n v="30776"/>
    <n v="3.9510000000000001"/>
    <n v="0"/>
    <n v="1.476"/>
    <n v="31.22"/>
    <n v="57883"/>
    <n v="6710.8977999999997"/>
    <n v="329"/>
    <n v="85.367000000000004"/>
    <n v="1515446"/>
    <n v="2.6"/>
    <m/>
    <m/>
    <x v="0"/>
    <x v="1"/>
    <x v="0"/>
    <m/>
    <m/>
    <m/>
    <m/>
    <m/>
    <m/>
    <m/>
    <m/>
    <m/>
    <m/>
    <m/>
    <m/>
    <m/>
    <m/>
    <m/>
  </r>
  <r>
    <x v="218"/>
    <x v="6"/>
    <d v="2018-07-23T00:00:00"/>
    <n v="1217"/>
    <n v="5.5620000000000003"/>
    <n v="0"/>
    <n v="1.288"/>
    <n v="31.89"/>
    <n v="3609"/>
    <n v="157.6317"/>
    <n v="15"/>
    <n v="4.6449999999999996"/>
    <n v="320445"/>
    <n v="0.88"/>
    <m/>
    <m/>
    <x v="0"/>
    <x v="1"/>
    <x v="1"/>
    <m/>
    <m/>
    <m/>
    <m/>
    <m/>
    <m/>
    <m/>
    <m/>
    <m/>
    <m/>
    <m/>
    <m/>
    <m/>
    <m/>
    <m/>
  </r>
  <r>
    <x v="219"/>
    <x v="6"/>
    <d v="2018-07-14T00:00:00"/>
    <n v="2276"/>
    <n v="4.2450000000000001"/>
    <n v="0"/>
    <n v="1.0640000000000001"/>
    <n v="43.91"/>
    <n v="6426"/>
    <n v="241.42920000000001"/>
    <n v="18"/>
    <n v="6.83"/>
    <n v="505057"/>
    <n v="0.93"/>
    <m/>
    <m/>
    <x v="0"/>
    <x v="1"/>
    <x v="1"/>
    <m/>
    <m/>
    <m/>
    <m/>
    <m/>
    <m/>
    <m/>
    <m/>
    <m/>
    <m/>
    <m/>
    <m/>
    <m/>
    <m/>
    <m/>
  </r>
  <r>
    <x v="220"/>
    <x v="6"/>
    <d v="2018-07-09T00:00:00"/>
    <n v="19914"/>
    <n v="3.0049999999999999"/>
    <n v="0"/>
    <n v="1.0860000000000001"/>
    <n v="54.94"/>
    <n v="38470"/>
    <n v="1767.0409999999999"/>
    <n v="95"/>
    <n v="41.767000000000003"/>
    <n v="905416"/>
    <n v="3.27"/>
    <m/>
    <m/>
    <x v="0"/>
    <x v="1"/>
    <x v="0"/>
    <m/>
    <m/>
    <m/>
    <m/>
    <m/>
    <m/>
    <m/>
    <m/>
    <m/>
    <m/>
    <m/>
    <m/>
    <m/>
    <m/>
    <m/>
  </r>
  <r>
    <x v="221"/>
    <x v="6"/>
    <d v="2018-07-03T00:00:00"/>
    <n v="33585"/>
    <n v="2.907"/>
    <n v="0"/>
    <n v="0.89300000000000002"/>
    <n v="42.32"/>
    <n v="70833"/>
    <n v="2215.1525999999999"/>
    <n v="297"/>
    <n v="63.194000000000003"/>
    <n v="1135332"/>
    <n v="4.6100000000000003"/>
    <m/>
    <m/>
    <x v="0"/>
    <x v="1"/>
    <x v="0"/>
    <m/>
    <m/>
    <m/>
    <m/>
    <m/>
    <m/>
    <m/>
    <m/>
    <m/>
    <m/>
    <m/>
    <m/>
    <m/>
    <m/>
    <m/>
  </r>
  <r>
    <x v="222"/>
    <x v="6"/>
    <d v="2018-06-20T00:00:00"/>
    <n v="2445"/>
    <n v="7.3410000000000002"/>
    <n v="35"/>
    <n v="2.4660000000000002"/>
    <n v="36.65"/>
    <n v="4724"/>
    <n v="177.9306"/>
    <n v="8"/>
    <n v="11.635"/>
    <n v="313645"/>
    <n v="0.57999999999999996"/>
    <m/>
    <m/>
    <x v="0"/>
    <x v="1"/>
    <x v="1"/>
    <m/>
    <m/>
    <m/>
    <m/>
    <m/>
    <m/>
    <m/>
    <m/>
    <m/>
    <m/>
    <m/>
    <m/>
    <m/>
    <m/>
    <m/>
  </r>
  <r>
    <x v="223"/>
    <x v="6"/>
    <d v="2018-06-17T00:00:00"/>
    <n v="1375"/>
    <n v="5.3"/>
    <n v="19"/>
    <n v="1.145"/>
    <n v="27.79"/>
    <n v="4367"/>
    <n v="119.9953"/>
    <n v="12"/>
    <n v="4.9980000000000002"/>
    <n v="329557"/>
    <n v="0.94"/>
    <m/>
    <m/>
    <x v="0"/>
    <x v="1"/>
    <x v="1"/>
    <m/>
    <m/>
    <m/>
    <m/>
    <m/>
    <m/>
    <m/>
    <m/>
    <m/>
    <m/>
    <m/>
    <m/>
    <m/>
    <m/>
    <m/>
  </r>
  <r>
    <x v="224"/>
    <x v="6"/>
    <d v="2018-06-12T00:00:00"/>
    <n v="4879"/>
    <n v="5.7759999999999998"/>
    <n v="0"/>
    <n v="2.0059999999999998"/>
    <n v="37.200000000000003"/>
    <n v="14746"/>
    <n v="6298.9530000000004"/>
    <n v="19"/>
    <n v="29.568000000000001"/>
    <n v="444013"/>
    <n v="1.72"/>
    <m/>
    <m/>
    <x v="0"/>
    <x v="1"/>
    <x v="1"/>
    <m/>
    <m/>
    <m/>
    <m/>
    <m/>
    <m/>
    <m/>
    <m/>
    <m/>
    <m/>
    <m/>
    <m/>
    <m/>
    <m/>
    <m/>
  </r>
  <r>
    <x v="225"/>
    <x v="6"/>
    <d v="2018-06-12T00:00:00"/>
    <n v="46167"/>
    <n v="4.1230000000000002"/>
    <n v="996"/>
    <n v="1.5349999999999999"/>
    <n v="43.06"/>
    <n v="88108"/>
    <n v="5385.0879999999997"/>
    <n v="431"/>
    <n v="135.16499999999999"/>
    <n v="1712686"/>
    <n v="3.63"/>
    <m/>
    <m/>
    <x v="0"/>
    <x v="1"/>
    <x v="0"/>
    <m/>
    <m/>
    <m/>
    <m/>
    <m/>
    <m/>
    <m/>
    <m/>
    <m/>
    <m/>
    <m/>
    <m/>
    <m/>
    <m/>
    <m/>
  </r>
  <r>
    <x v="226"/>
    <x v="6"/>
    <d v="2018-06-09T00:00:00"/>
    <n v="64537"/>
    <n v="4.3609999999999998"/>
    <n v="687"/>
    <n v="2.6349999999999998"/>
    <n v="35.880000000000003"/>
    <n v="102831"/>
    <n v="6170.0149000000001"/>
    <n v="1726"/>
    <n v="270.93099999999998"/>
    <n v="2452942"/>
    <n v="2.99"/>
    <m/>
    <m/>
    <x v="0"/>
    <x v="1"/>
    <x v="0"/>
    <m/>
    <m/>
    <m/>
    <m/>
    <m/>
    <m/>
    <m/>
    <m/>
    <m/>
    <m/>
    <m/>
    <m/>
    <m/>
    <m/>
    <m/>
  </r>
  <r>
    <x v="227"/>
    <x v="6"/>
    <d v="2018-06-08T00:00:00"/>
    <n v="15517"/>
    <n v="5.4809999999999999"/>
    <n v="0"/>
    <n v="2.2610000000000001"/>
    <n v="42.42"/>
    <n v="24733"/>
    <n v="1087.0433"/>
    <n v="125"/>
    <n v="55.872"/>
    <n v="595552"/>
    <n v="2.41"/>
    <m/>
    <m/>
    <x v="0"/>
    <x v="1"/>
    <x v="0"/>
    <m/>
    <m/>
    <m/>
    <m/>
    <m/>
    <m/>
    <m/>
    <m/>
    <m/>
    <m/>
    <m/>
    <m/>
    <m/>
    <m/>
    <m/>
  </r>
  <r>
    <x v="228"/>
    <x v="6"/>
    <d v="2018-06-02T00:00:00"/>
    <n v="1866308"/>
    <n v="5.0490000000000004"/>
    <n v="11934"/>
    <n v="3.3940000000000001"/>
    <n v="27.16"/>
    <n v="2804794"/>
    <n v="176929.57819999999"/>
    <n v="23688"/>
    <n v="9512.5589999999993"/>
    <n v="54500918"/>
    <n v="3.27"/>
    <m/>
    <m/>
    <x v="0"/>
    <x v="1"/>
    <x v="0"/>
    <m/>
    <m/>
    <m/>
    <m/>
    <m/>
    <m/>
    <m/>
    <m/>
    <m/>
    <m/>
    <m/>
    <m/>
    <m/>
    <m/>
    <m/>
  </r>
  <r>
    <x v="229"/>
    <x v="6"/>
    <d v="2018-06-01T00:00:00"/>
    <n v="4483"/>
    <n v="3.669"/>
    <n v="0"/>
    <n v="0.82899999999999996"/>
    <n v="27.81"/>
    <n v="12985"/>
    <n v="285.88080000000002"/>
    <n v="25"/>
    <n v="10.749000000000001"/>
    <n v="428376"/>
    <n v="2.2799999999999998"/>
    <m/>
    <m/>
    <x v="0"/>
    <x v="1"/>
    <x v="1"/>
    <m/>
    <m/>
    <m/>
    <m/>
    <m/>
    <m/>
    <m/>
    <m/>
    <m/>
    <m/>
    <m/>
    <m/>
    <m/>
    <m/>
    <m/>
  </r>
  <r>
    <x v="230"/>
    <x v="6"/>
    <d v="2018-05-29T00:00:00"/>
    <n v="1177"/>
    <n v="4.9580000000000002"/>
    <n v="0"/>
    <n v="1.1919999999999999"/>
    <n v="31.77"/>
    <n v="3640"/>
    <n v="493.02609999999999"/>
    <n v="3"/>
    <n v="4.335"/>
    <n v="291214"/>
    <n v="0.78"/>
    <m/>
    <m/>
    <x v="0"/>
    <x v="1"/>
    <x v="1"/>
    <m/>
    <m/>
    <m/>
    <m/>
    <m/>
    <m/>
    <m/>
    <m/>
    <m/>
    <m/>
    <m/>
    <m/>
    <m/>
    <m/>
    <m/>
  </r>
  <r>
    <x v="231"/>
    <x v="6"/>
    <d v="2018-05-28T00:00:00"/>
    <n v="22416"/>
    <n v="3.86"/>
    <n v="0"/>
    <n v="1.361"/>
    <n v="42.83"/>
    <n v="44450"/>
    <n v="2348.2004000000002"/>
    <n v="108"/>
    <n v="60.448999999999998"/>
    <n v="951160"/>
    <n v="3.33"/>
    <m/>
    <m/>
    <x v="0"/>
    <x v="1"/>
    <x v="0"/>
    <m/>
    <m/>
    <m/>
    <m/>
    <m/>
    <m/>
    <m/>
    <m/>
    <m/>
    <m/>
    <m/>
    <m/>
    <m/>
    <m/>
    <m/>
  </r>
  <r>
    <x v="232"/>
    <x v="6"/>
    <d v="2018-05-24T00:00:00"/>
    <n v="10851"/>
    <n v="3.7890000000000001"/>
    <n v="0"/>
    <n v="1.3240000000000001"/>
    <n v="41.87"/>
    <n v="21196"/>
    <n v="793.80319999999995"/>
    <n v="215"/>
    <n v="28.036000000000001"/>
    <n v="561493"/>
    <n v="2.7"/>
    <m/>
    <m/>
    <x v="0"/>
    <x v="1"/>
    <x v="0"/>
    <m/>
    <m/>
    <m/>
    <m/>
    <m/>
    <m/>
    <m/>
    <m/>
    <m/>
    <m/>
    <m/>
    <m/>
    <m/>
    <m/>
    <m/>
  </r>
  <r>
    <x v="233"/>
    <x v="6"/>
    <d v="2018-05-21T00:00:00"/>
    <n v="59126"/>
    <n v="3.2930000000000001"/>
    <n v="1076"/>
    <n v="1.157"/>
    <n v="36.799999999999997"/>
    <n v="112407"/>
    <n v="8285.7199000000001"/>
    <n v="652"/>
    <n v="129.947"/>
    <n v="2217564"/>
    <n v="3.69"/>
    <m/>
    <m/>
    <x v="0"/>
    <x v="1"/>
    <x v="0"/>
    <m/>
    <m/>
    <m/>
    <m/>
    <m/>
    <m/>
    <m/>
    <m/>
    <m/>
    <m/>
    <m/>
    <m/>
    <m/>
    <m/>
    <m/>
  </r>
  <r>
    <x v="234"/>
    <x v="6"/>
    <d v="2018-05-14T00:00:00"/>
    <n v="1496"/>
    <n v="5.7089999999999996"/>
    <n v="0"/>
    <n v="1.1739999999999999"/>
    <n v="21.67"/>
    <n v="4878"/>
    <n v="212.91069999999999"/>
    <n v="11"/>
    <n v="5.7240000000000002"/>
    <n v="319615"/>
    <n v="1.1399999999999999"/>
    <m/>
    <m/>
    <x v="0"/>
    <x v="1"/>
    <x v="1"/>
    <m/>
    <m/>
    <m/>
    <m/>
    <m/>
    <m/>
    <m/>
    <m/>
    <m/>
    <m/>
    <m/>
    <m/>
    <m/>
    <m/>
    <m/>
  </r>
  <r>
    <x v="235"/>
    <x v="6"/>
    <d v="2018-05-07T00:00:00"/>
    <n v="3946"/>
    <n v="5.8860000000000001"/>
    <n v="0"/>
    <n v="2.0459999999999998"/>
    <n v="32.659999999999997"/>
    <n v="9834"/>
    <n v="3123.8757000000001"/>
    <n v="10"/>
    <n v="20.097999999999999"/>
    <n v="410173"/>
    <n v="1.33"/>
    <m/>
    <m/>
    <x v="0"/>
    <x v="1"/>
    <x v="1"/>
    <m/>
    <m/>
    <m/>
    <m/>
    <m/>
    <m/>
    <m/>
    <m/>
    <m/>
    <m/>
    <m/>
    <m/>
    <m/>
    <m/>
    <m/>
  </r>
  <r>
    <x v="236"/>
    <x v="6"/>
    <d v="2018-05-06T00:00:00"/>
    <n v="1776"/>
    <n v="3.9289999999999998"/>
    <n v="0"/>
    <n v="0.86899999999999999"/>
    <n v="70.16"/>
    <n v="4943"/>
    <n v="66.465900000000005"/>
    <n v="0"/>
    <n v="4.2910000000000004"/>
    <n v="335259"/>
    <n v="1.01"/>
    <m/>
    <m/>
    <x v="0"/>
    <x v="1"/>
    <x v="1"/>
    <m/>
    <m/>
    <m/>
    <m/>
    <m/>
    <m/>
    <m/>
    <m/>
    <m/>
    <m/>
    <m/>
    <m/>
    <m/>
    <m/>
    <m/>
  </r>
  <r>
    <x v="237"/>
    <x v="6"/>
    <d v="2018-05-02T00:00:00"/>
    <n v="24678"/>
    <n v="3.706"/>
    <n v="0"/>
    <n v="1.2909999999999999"/>
    <n v="21.97"/>
    <n v="48066"/>
    <n v="4522.4922999999999"/>
    <n v="257"/>
    <n v="62.011000000000003"/>
    <n v="1085707"/>
    <n v="2.92"/>
    <m/>
    <m/>
    <x v="0"/>
    <x v="1"/>
    <x v="0"/>
    <m/>
    <m/>
    <m/>
    <m/>
    <m/>
    <m/>
    <m/>
    <m/>
    <m/>
    <m/>
    <m/>
    <m/>
    <m/>
    <m/>
    <m/>
  </r>
  <r>
    <x v="238"/>
    <x v="6"/>
    <d v="2018-05-01T00:00:00"/>
    <n v="2369"/>
    <n v="4.5389999999999997"/>
    <n v="0"/>
    <n v="1.0620000000000001"/>
    <n v="24"/>
    <n v="8217"/>
    <n v="1496.9934000000001"/>
    <n v="5"/>
    <n v="8.718"/>
    <n v="306252"/>
    <n v="1.28"/>
    <m/>
    <m/>
    <x v="0"/>
    <x v="1"/>
    <x v="1"/>
    <m/>
    <m/>
    <m/>
    <m/>
    <m/>
    <m/>
    <m/>
    <m/>
    <m/>
    <m/>
    <m/>
    <m/>
    <m/>
    <m/>
    <m/>
  </r>
  <r>
    <x v="239"/>
    <x v="6"/>
    <d v="2018-04-29T00:00:00"/>
    <n v="933"/>
    <n v="4.5709999999999997"/>
    <n v="0"/>
    <n v="0.97199999999999998"/>
    <n v="44.48"/>
    <n v="2782"/>
    <n v="51.559399999999997"/>
    <n v="1"/>
    <n v="2.7040000000000002"/>
    <n v="361796"/>
    <n v="0.57999999999999996"/>
    <m/>
    <m/>
    <x v="0"/>
    <x v="1"/>
    <x v="1"/>
    <m/>
    <m/>
    <m/>
    <m/>
    <m/>
    <m/>
    <m/>
    <m/>
    <m/>
    <m/>
    <m/>
    <m/>
    <m/>
    <m/>
    <m/>
  </r>
  <r>
    <x v="240"/>
    <x v="6"/>
    <d v="2018-04-24T00:00:00"/>
    <n v="36912"/>
    <n v="3.8460000000000001"/>
    <n v="581"/>
    <n v="2.0310000000000001"/>
    <n v="39.15"/>
    <n v="64211"/>
    <n v="5349.5902999999998"/>
    <n v="145"/>
    <n v="130.31399999999999"/>
    <n v="1451509"/>
    <n v="3.03"/>
    <m/>
    <m/>
    <x v="0"/>
    <x v="1"/>
    <x v="0"/>
    <m/>
    <m/>
    <m/>
    <m/>
    <m/>
    <m/>
    <m/>
    <m/>
    <m/>
    <m/>
    <m/>
    <m/>
    <m/>
    <m/>
    <m/>
  </r>
  <r>
    <x v="241"/>
    <x v="6"/>
    <d v="2018-04-18T00:00:00"/>
    <n v="75454"/>
    <n v="3.4980000000000002"/>
    <n v="1806"/>
    <n v="1.258"/>
    <n v="40.700000000000003"/>
    <n v="142326"/>
    <n v="8447.0439999999999"/>
    <n v="1196"/>
    <n v="178.87100000000001"/>
    <n v="2538834"/>
    <n v="3.93"/>
    <m/>
    <m/>
    <x v="0"/>
    <x v="1"/>
    <x v="0"/>
    <m/>
    <m/>
    <m/>
    <m/>
    <m/>
    <m/>
    <m/>
    <m/>
    <m/>
    <m/>
    <m/>
    <m/>
    <m/>
    <m/>
    <m/>
  </r>
  <r>
    <x v="242"/>
    <x v="6"/>
    <d v="2018-04-16T00:00:00"/>
    <n v="1566"/>
    <n v="4.2809999999999997"/>
    <n v="0"/>
    <n v="0.97499999999999998"/>
    <n v="18.510000000000002"/>
    <n v="4648"/>
    <n v="287.98630000000003"/>
    <n v="6"/>
    <n v="4.5270000000000001"/>
    <n v="276242"/>
    <n v="1.2"/>
    <m/>
    <m/>
    <x v="0"/>
    <x v="1"/>
    <x v="1"/>
    <m/>
    <m/>
    <m/>
    <m/>
    <m/>
    <m/>
    <m/>
    <m/>
    <m/>
    <m/>
    <m/>
    <m/>
    <m/>
    <m/>
    <m/>
  </r>
  <r>
    <x v="243"/>
    <x v="6"/>
    <d v="2018-04-14T00:00:00"/>
    <n v="50148"/>
    <n v="3.51"/>
    <n v="0"/>
    <n v="1.359"/>
    <n v="29.21"/>
    <n v="87441"/>
    <n v="10323.616099999999"/>
    <n v="383"/>
    <n v="118.663"/>
    <n v="2556886"/>
    <n v="2.29"/>
    <m/>
    <m/>
    <x v="0"/>
    <x v="1"/>
    <x v="0"/>
    <m/>
    <m/>
    <m/>
    <m/>
    <m/>
    <m/>
    <m/>
    <m/>
    <m/>
    <m/>
    <m/>
    <m/>
    <m/>
    <m/>
    <m/>
  </r>
  <r>
    <x v="244"/>
    <x v="6"/>
    <d v="2018-04-12T00:00:00"/>
    <n v="35896"/>
    <n v="3.8260000000000001"/>
    <n v="0"/>
    <n v="1.3029999999999999"/>
    <n v="35.78"/>
    <n v="71258"/>
    <n v="7818.7677999999996"/>
    <n v="275"/>
    <n v="92.781000000000006"/>
    <n v="2072373"/>
    <n v="2.33"/>
    <m/>
    <m/>
    <x v="0"/>
    <x v="1"/>
    <x v="0"/>
    <m/>
    <m/>
    <m/>
    <m/>
    <m/>
    <m/>
    <m/>
    <m/>
    <m/>
    <m/>
    <m/>
    <m/>
    <m/>
    <m/>
    <m/>
  </r>
  <r>
    <x v="245"/>
    <x v="6"/>
    <d v="2018-04-10T00:00:00"/>
    <n v="50957"/>
    <n v="3.5270000000000001"/>
    <n v="511"/>
    <n v="1.236"/>
    <n v="40.1"/>
    <n v="96009"/>
    <n v="4898.1947"/>
    <n v="706"/>
    <n v="118.59699999999999"/>
    <n v="1504370"/>
    <n v="4.37"/>
    <m/>
    <m/>
    <x v="0"/>
    <x v="1"/>
    <x v="0"/>
    <m/>
    <m/>
    <m/>
    <m/>
    <m/>
    <m/>
    <m/>
    <m/>
    <m/>
    <m/>
    <m/>
    <m/>
    <m/>
    <m/>
    <m/>
  </r>
  <r>
    <x v="246"/>
    <x v="6"/>
    <d v="2018-04-09T00:00:00"/>
    <n v="484789"/>
    <n v="4.0010000000000003"/>
    <n v="1331"/>
    <n v="2.6869999999999998"/>
    <n v="27.18"/>
    <n v="684377"/>
    <n v="81746.557799999995"/>
    <n v="13532"/>
    <n v="1835.221"/>
    <n v="9220873"/>
    <n v="4.24"/>
    <m/>
    <m/>
    <x v="0"/>
    <x v="1"/>
    <x v="0"/>
    <m/>
    <m/>
    <m/>
    <m/>
    <m/>
    <m/>
    <m/>
    <m/>
    <m/>
    <m/>
    <m/>
    <m/>
    <m/>
    <m/>
    <m/>
  </r>
  <r>
    <x v="247"/>
    <x v="6"/>
    <d v="2018-04-05T00:00:00"/>
    <n v="1723"/>
    <n v="4.2690000000000001"/>
    <n v="0"/>
    <n v="1.3160000000000001"/>
    <n v="58.52"/>
    <n v="3693"/>
    <n v="115.2585"/>
    <n v="13"/>
    <n v="4.8520000000000003"/>
    <n v="271583"/>
    <n v="1"/>
    <m/>
    <m/>
    <x v="0"/>
    <x v="1"/>
    <x v="1"/>
    <m/>
    <m/>
    <m/>
    <m/>
    <m/>
    <m/>
    <m/>
    <m/>
    <m/>
    <m/>
    <m/>
    <m/>
    <m/>
    <m/>
    <m/>
  </r>
  <r>
    <x v="248"/>
    <x v="6"/>
    <d v="2018-04-04T00:00:00"/>
    <n v="1295357"/>
    <n v="4.024"/>
    <n v="5097"/>
    <n v="2.6970000000000001"/>
    <n v="27.8"/>
    <n v="1747351"/>
    <n v="169894.77040000001"/>
    <n v="47888"/>
    <n v="4702.9780000000001"/>
    <n v="35931999"/>
    <n v="2.9"/>
    <m/>
    <m/>
    <x v="0"/>
    <x v="1"/>
    <x v="0"/>
    <m/>
    <m/>
    <m/>
    <m/>
    <m/>
    <m/>
    <m/>
    <m/>
    <m/>
    <m/>
    <m/>
    <m/>
    <m/>
    <m/>
    <m/>
  </r>
  <r>
    <x v="249"/>
    <x v="6"/>
    <d v="2018-04-02T00:00:00"/>
    <n v="26342"/>
    <n v="3.194"/>
    <n v="0"/>
    <n v="1.2110000000000001"/>
    <n v="35.450000000000003"/>
    <n v="49261"/>
    <n v="2536.8685999999998"/>
    <n v="153"/>
    <n v="59.597999999999999"/>
    <n v="1061986"/>
    <n v="3.53"/>
    <m/>
    <m/>
    <x v="0"/>
    <x v="1"/>
    <x v="0"/>
    <m/>
    <m/>
    <m/>
    <m/>
    <m/>
    <m/>
    <m/>
    <m/>
    <m/>
    <m/>
    <m/>
    <m/>
    <m/>
    <m/>
    <m/>
  </r>
  <r>
    <x v="250"/>
    <x v="6"/>
    <d v="2018-03-24T00:00:00"/>
    <n v="26759"/>
    <n v="3.3540000000000001"/>
    <n v="0"/>
    <n v="1.339"/>
    <n v="25.07"/>
    <n v="43836"/>
    <n v="3022.0547999999999"/>
    <n v="173"/>
    <n v="58.686"/>
    <n v="1045011"/>
    <n v="2.93"/>
    <m/>
    <m/>
    <x v="0"/>
    <x v="1"/>
    <x v="0"/>
    <m/>
    <m/>
    <m/>
    <m/>
    <m/>
    <m/>
    <m/>
    <m/>
    <m/>
    <m/>
    <m/>
    <m/>
    <m/>
    <m/>
    <m/>
  </r>
  <r>
    <x v="251"/>
    <x v="6"/>
    <d v="2018-03-21T00:00:00"/>
    <n v="2703"/>
    <n v="4.0679999999999996"/>
    <n v="0"/>
    <n v="1.04"/>
    <n v="22.52"/>
    <n v="6985"/>
    <n v="426.55829999999997"/>
    <n v="43"/>
    <n v="7.2560000000000002"/>
    <n v="256672"/>
    <n v="1.9"/>
    <m/>
    <m/>
    <x v="0"/>
    <x v="1"/>
    <x v="1"/>
    <m/>
    <m/>
    <m/>
    <m/>
    <m/>
    <m/>
    <m/>
    <m/>
    <m/>
    <m/>
    <m/>
    <m/>
    <m/>
    <m/>
    <m/>
  </r>
  <r>
    <x v="252"/>
    <x v="6"/>
    <d v="2018-03-14T00:00:00"/>
    <n v="57675"/>
    <n v="3.4630000000000001"/>
    <n v="0"/>
    <n v="1.643"/>
    <n v="43.32"/>
    <n v="77828"/>
    <n v="6069.1223"/>
    <n v="1576"/>
    <n v="127.684"/>
    <n v="2108498"/>
    <n v="2.71"/>
    <m/>
    <m/>
    <x v="0"/>
    <x v="1"/>
    <x v="0"/>
    <m/>
    <m/>
    <m/>
    <m/>
    <m/>
    <m/>
    <m/>
    <m/>
    <m/>
    <m/>
    <m/>
    <m/>
    <m/>
    <m/>
    <m/>
  </r>
  <r>
    <x v="253"/>
    <x v="6"/>
    <d v="2018-03-10T00:00:00"/>
    <n v="3226"/>
    <n v="4.3940000000000001"/>
    <n v="0"/>
    <n v="1.3919999999999999"/>
    <n v="49.84"/>
    <n v="7045"/>
    <n v="336.48250000000002"/>
    <n v="25"/>
    <n v="9.7880000000000003"/>
    <n v="318321"/>
    <n v="1.55"/>
    <m/>
    <m/>
    <x v="0"/>
    <x v="1"/>
    <x v="1"/>
    <m/>
    <m/>
    <m/>
    <m/>
    <m/>
    <m/>
    <m/>
    <m/>
    <m/>
    <m/>
    <m/>
    <m/>
    <m/>
    <m/>
    <m/>
  </r>
  <r>
    <x v="254"/>
    <x v="6"/>
    <d v="2018-03-07T00:00:00"/>
    <n v="2209"/>
    <n v="5.1420000000000003"/>
    <n v="11"/>
    <n v="1.2230000000000001"/>
    <n v="20.73"/>
    <n v="6211"/>
    <n v="380.56529999999998"/>
    <n v="5"/>
    <n v="7.5919999999999996"/>
    <n v="275806"/>
    <n v="1.69"/>
    <m/>
    <m/>
    <x v="0"/>
    <x v="1"/>
    <x v="1"/>
    <m/>
    <m/>
    <m/>
    <m/>
    <m/>
    <m/>
    <m/>
    <m/>
    <m/>
    <m/>
    <m/>
    <m/>
    <m/>
    <m/>
    <m/>
  </r>
  <r>
    <x v="255"/>
    <x v="6"/>
    <d v="2018-03-03T00:00:00"/>
    <n v="2220"/>
    <n v="4.2809999999999997"/>
    <n v="0"/>
    <n v="1.159"/>
    <n v="53.11"/>
    <n v="5586"/>
    <n v="201.0926"/>
    <n v="10"/>
    <n v="6.4610000000000003"/>
    <n v="272461"/>
    <n v="1.51"/>
    <m/>
    <m/>
    <x v="0"/>
    <x v="1"/>
    <x v="1"/>
    <m/>
    <m/>
    <m/>
    <m/>
    <m/>
    <m/>
    <m/>
    <m/>
    <m/>
    <m/>
    <m/>
    <m/>
    <m/>
    <m/>
    <m/>
  </r>
  <r>
    <x v="256"/>
    <x v="6"/>
    <d v="2018-02-24T00:00:00"/>
    <n v="10409"/>
    <n v="3.8919999999999999"/>
    <n v="95"/>
    <n v="1.3109999999999999"/>
    <n v="36.51"/>
    <n v="20482"/>
    <n v="1537.2944"/>
    <n v="106"/>
    <n v="26.815000000000001"/>
    <n v="562265"/>
    <n v="2.56"/>
    <m/>
    <m/>
    <x v="0"/>
    <x v="1"/>
    <x v="0"/>
    <m/>
    <m/>
    <m/>
    <m/>
    <m/>
    <m/>
    <m/>
    <m/>
    <m/>
    <m/>
    <m/>
    <m/>
    <m/>
    <m/>
    <m/>
  </r>
  <r>
    <x v="257"/>
    <x v="6"/>
    <d v="2018-02-21T00:00:00"/>
    <n v="706"/>
    <n v="4.33"/>
    <n v="19"/>
    <n v="0.75"/>
    <n v="38.42"/>
    <n v="2438"/>
    <n v="41.888199999999998"/>
    <n v="1"/>
    <n v="1.829"/>
    <n v="278881"/>
    <n v="0.5"/>
    <m/>
    <m/>
    <x v="0"/>
    <x v="1"/>
    <x v="1"/>
    <m/>
    <m/>
    <m/>
    <m/>
    <m/>
    <m/>
    <m/>
    <m/>
    <m/>
    <m/>
    <m/>
    <m/>
    <m/>
    <m/>
    <m/>
  </r>
  <r>
    <x v="258"/>
    <x v="6"/>
    <d v="2018-02-17T00:00:00"/>
    <n v="4437"/>
    <n v="3.39"/>
    <n v="0"/>
    <n v="1.2350000000000001"/>
    <n v="25.64"/>
    <n v="7839"/>
    <n v="630.92719999999997"/>
    <n v="23"/>
    <n v="9.6649999999999991"/>
    <n v="300785"/>
    <n v="1.9"/>
    <m/>
    <m/>
    <x v="0"/>
    <x v="1"/>
    <x v="1"/>
    <m/>
    <m/>
    <m/>
    <m/>
    <m/>
    <m/>
    <m/>
    <m/>
    <m/>
    <m/>
    <m/>
    <m/>
    <m/>
    <m/>
    <m/>
  </r>
  <r>
    <x v="259"/>
    <x v="6"/>
    <d v="2018-02-14T00:00:00"/>
    <n v="2289"/>
    <n v="5.0490000000000004"/>
    <n v="6"/>
    <n v="1.149"/>
    <n v="22.38"/>
    <n v="6538"/>
    <n v="303.25319999999999"/>
    <n v="15"/>
    <n v="7.5049999999999999"/>
    <n v="239045"/>
    <n v="1.91"/>
    <m/>
    <m/>
    <x v="0"/>
    <x v="1"/>
    <x v="1"/>
    <m/>
    <m/>
    <m/>
    <m/>
    <m/>
    <m/>
    <m/>
    <m/>
    <m/>
    <m/>
    <m/>
    <m/>
    <m/>
    <m/>
    <m/>
  </r>
  <r>
    <x v="260"/>
    <x v="6"/>
    <d v="2018-02-10T00:00:00"/>
    <n v="1151"/>
    <n v="4.3860000000000001"/>
    <n v="76"/>
    <n v="0.93500000000000005"/>
    <n v="57.71"/>
    <n v="3382"/>
    <n v="84.571200000000005"/>
    <n v="12"/>
    <n v="3.1549999999999998"/>
    <n v="243219"/>
    <n v="1.02"/>
    <m/>
    <m/>
    <x v="0"/>
    <x v="1"/>
    <x v="1"/>
    <m/>
    <m/>
    <m/>
    <m/>
    <m/>
    <m/>
    <m/>
    <m/>
    <m/>
    <m/>
    <m/>
    <m/>
    <m/>
    <m/>
    <m/>
  </r>
  <r>
    <x v="261"/>
    <x v="6"/>
    <d v="2018-01-31T00:00:00"/>
    <n v="1866"/>
    <n v="4.7629999999999999"/>
    <n v="45"/>
    <n v="1.19"/>
    <n v="36.51"/>
    <n v="5039"/>
    <n v="185.51669999999999"/>
    <n v="8"/>
    <n v="5.9909999999999997"/>
    <n v="246375"/>
    <n v="1.36"/>
    <m/>
    <m/>
    <x v="0"/>
    <x v="1"/>
    <x v="1"/>
    <m/>
    <m/>
    <m/>
    <m/>
    <m/>
    <m/>
    <m/>
    <m/>
    <m/>
    <m/>
    <m/>
    <m/>
    <m/>
    <m/>
    <m/>
  </r>
  <r>
    <x v="262"/>
    <x v="6"/>
    <d v="2018-01-27T00:00:00"/>
    <n v="13606"/>
    <n v="5.7910000000000004"/>
    <n v="57"/>
    <n v="1.9370000000000001"/>
    <n v="26.12"/>
    <n v="26127"/>
    <n v="3200.2420000000002"/>
    <n v="163"/>
    <n v="50.476999999999997"/>
    <n v="470347"/>
    <n v="2.44"/>
    <m/>
    <m/>
    <x v="0"/>
    <x v="1"/>
    <x v="0"/>
    <m/>
    <m/>
    <m/>
    <m/>
    <m/>
    <m/>
    <m/>
    <m/>
    <m/>
    <m/>
    <m/>
    <m/>
    <m/>
    <m/>
    <m/>
  </r>
  <r>
    <x v="263"/>
    <x v="6"/>
    <d v="2018-01-20T00:00:00"/>
    <n v="1495"/>
    <n v="4.5839999999999996"/>
    <n v="0"/>
    <n v="1.1919999999999999"/>
    <n v="54.45"/>
    <n v="3852"/>
    <n v="131.6808"/>
    <n v="2"/>
    <n v="4.5880000000000001"/>
    <n v="238467"/>
    <n v="1.1499999999999999"/>
    <m/>
    <m/>
    <x v="0"/>
    <x v="1"/>
    <x v="1"/>
    <m/>
    <m/>
    <m/>
    <m/>
    <m/>
    <m/>
    <m/>
    <m/>
    <m/>
    <m/>
    <m/>
    <m/>
    <m/>
    <m/>
    <m/>
  </r>
  <r>
    <x v="264"/>
    <x v="6"/>
    <d v="2018-01-17T00:00:00"/>
    <n v="1211"/>
    <n v="4.3869999999999996"/>
    <n v="0"/>
    <n v="0.23300000000000001"/>
    <n v="24.32"/>
    <n v="16597"/>
    <n v="1803.83"/>
    <n v="88"/>
    <n v="3.851"/>
    <n v="433334"/>
    <n v="2.5"/>
    <m/>
    <m/>
    <x v="0"/>
    <x v="1"/>
    <x v="0"/>
    <m/>
    <m/>
    <m/>
    <m/>
    <m/>
    <m/>
    <m/>
    <m/>
    <m/>
    <m/>
    <m/>
    <m/>
    <m/>
    <m/>
    <m/>
  </r>
  <r>
    <x v="265"/>
    <x v="6"/>
    <d v="2018-01-13T00:00:00"/>
    <n v="69115"/>
    <n v="3.9980000000000002"/>
    <n v="0"/>
    <n v="1.391"/>
    <n v="37.24"/>
    <n v="131300"/>
    <n v="4414.6514999999999"/>
    <n v="705"/>
    <n v="182.42699999999999"/>
    <n v="2290266"/>
    <n v="4.25"/>
    <m/>
    <m/>
    <x v="0"/>
    <x v="1"/>
    <x v="0"/>
    <m/>
    <m/>
    <m/>
    <m/>
    <m/>
    <m/>
    <m/>
    <m/>
    <m/>
    <m/>
    <m/>
    <m/>
    <m/>
    <m/>
    <m/>
  </r>
  <r>
    <x v="266"/>
    <x v="6"/>
    <d v="2018-01-10T00:00:00"/>
    <n v="22181"/>
    <n v="4.8879999999999999"/>
    <n v="287"/>
    <n v="1.454"/>
    <n v="36"/>
    <n v="47309"/>
    <n v="5005.6585999999998"/>
    <n v="453"/>
    <n v="68.628"/>
    <n v="929789"/>
    <n v="2.88"/>
    <m/>
    <m/>
    <x v="0"/>
    <x v="1"/>
    <x v="0"/>
    <m/>
    <m/>
    <m/>
    <m/>
    <m/>
    <m/>
    <m/>
    <m/>
    <m/>
    <m/>
    <m/>
    <m/>
    <m/>
    <m/>
    <m/>
  </r>
  <r>
    <x v="267"/>
    <x v="6"/>
    <d v="2018-01-06T00:00:00"/>
    <n v="2962"/>
    <n v="3.4209999999999998"/>
    <n v="116"/>
    <n v="0.89200000000000002"/>
    <n v="52.4"/>
    <n v="7311"/>
    <n v="287.34960000000001"/>
    <n v="18"/>
    <n v="6.516"/>
    <n v="274219"/>
    <n v="1.96"/>
    <m/>
    <m/>
    <x v="0"/>
    <x v="1"/>
    <x v="1"/>
    <m/>
    <m/>
    <m/>
    <m/>
    <m/>
    <m/>
    <m/>
    <m/>
    <m/>
    <m/>
    <m/>
    <m/>
    <m/>
    <m/>
    <m/>
  </r>
  <r>
    <x v="268"/>
    <x v="6"/>
    <d v="2018-01-03T00:00:00"/>
    <n v="2376"/>
    <n v="4.42"/>
    <n v="155"/>
    <n v="1.22"/>
    <n v="49.46"/>
    <n v="5636"/>
    <n v="174.98179999999999"/>
    <n v="18"/>
    <n v="6.8570000000000002"/>
    <n v="247753"/>
    <n v="1.49"/>
    <m/>
    <m/>
    <x v="0"/>
    <x v="1"/>
    <x v="1"/>
    <m/>
    <m/>
    <m/>
    <m/>
    <m/>
    <m/>
    <m/>
    <m/>
    <m/>
    <m/>
    <m/>
    <m/>
    <m/>
    <m/>
    <m/>
  </r>
  <r>
    <x v="269"/>
    <x v="6"/>
    <d v="2017-12-24T00:00:00"/>
    <n v="2491"/>
    <n v="3.9060000000000001"/>
    <n v="165"/>
    <n v="1.026"/>
    <n v="57.32"/>
    <n v="6320"/>
    <n v="256.60550000000001"/>
    <n v="12"/>
    <n v="6.4720000000000004"/>
    <n v="271910"/>
    <n v="1.65"/>
    <m/>
    <m/>
    <x v="0"/>
    <x v="1"/>
    <x v="1"/>
    <m/>
    <m/>
    <m/>
    <m/>
    <m/>
    <m/>
    <m/>
    <m/>
    <m/>
    <m/>
    <m/>
    <m/>
    <m/>
    <m/>
    <m/>
  </r>
  <r>
    <x v="270"/>
    <x v="6"/>
    <d v="2017-12-23T00:00:00"/>
    <n v="3959"/>
    <n v="4.0010000000000003"/>
    <n v="266"/>
    <n v="1.19"/>
    <n v="44.81"/>
    <n v="9003"/>
    <n v="344.01769999999999"/>
    <n v="8"/>
    <n v="10.688000000000001"/>
    <n v="273402"/>
    <n v="2.36"/>
    <m/>
    <m/>
    <x v="0"/>
    <x v="1"/>
    <x v="1"/>
    <m/>
    <m/>
    <m/>
    <m/>
    <m/>
    <m/>
    <m/>
    <m/>
    <m/>
    <m/>
    <m/>
    <m/>
    <m/>
    <m/>
    <m/>
  </r>
  <r>
    <x v="271"/>
    <x v="6"/>
    <d v="2017-12-22T00:00:00"/>
    <n v="1104"/>
    <n v="5.0549999999999997"/>
    <n v="83"/>
    <n v="1.2829999999999999"/>
    <n v="48.14"/>
    <n v="3001"/>
    <n v="139.64349999999999"/>
    <n v="8"/>
    <n v="3.839"/>
    <n v="234089"/>
    <n v="0.87"/>
    <m/>
    <m/>
    <x v="0"/>
    <x v="1"/>
    <x v="1"/>
    <m/>
    <m/>
    <m/>
    <m/>
    <m/>
    <m/>
    <m/>
    <m/>
    <m/>
    <m/>
    <m/>
    <m/>
    <m/>
    <m/>
    <m/>
  </r>
  <r>
    <x v="272"/>
    <x v="6"/>
    <d v="2017-12-21T00:00:00"/>
    <n v="30974"/>
    <n v="4.8570000000000002"/>
    <n v="159"/>
    <n v="2.3759999999999999"/>
    <n v="36.15"/>
    <n v="43337"/>
    <n v="6722.5550000000003"/>
    <n v="427"/>
    <n v="102.64700000000001"/>
    <n v="1228463"/>
    <n v="2.21"/>
    <m/>
    <m/>
    <x v="0"/>
    <x v="1"/>
    <x v="0"/>
    <m/>
    <m/>
    <m/>
    <m/>
    <m/>
    <m/>
    <m/>
    <m/>
    <m/>
    <m/>
    <m/>
    <m/>
    <m/>
    <m/>
    <m/>
  </r>
  <r>
    <x v="273"/>
    <x v="6"/>
    <d v="2017-12-16T00:00:00"/>
    <n v="1626"/>
    <n v="3.57"/>
    <n v="174"/>
    <n v="0.76900000000000002"/>
    <n v="55.27"/>
    <n v="4761"/>
    <n v="98.683000000000007"/>
    <n v="4"/>
    <n v="3.653"/>
    <n v="228948"/>
    <n v="1.54"/>
    <m/>
    <m/>
    <x v="0"/>
    <x v="1"/>
    <x v="1"/>
    <m/>
    <m/>
    <m/>
    <m/>
    <m/>
    <m/>
    <m/>
    <m/>
    <m/>
    <m/>
    <m/>
    <m/>
    <m/>
    <m/>
    <m/>
  </r>
  <r>
    <x v="274"/>
    <x v="6"/>
    <d v="2017-12-14T00:00:00"/>
    <n v="56952"/>
    <n v="4.9889999999999999"/>
    <n v="342"/>
    <n v="2.5910000000000002"/>
    <n v="31.59"/>
    <n v="73110"/>
    <n v="10143.1037"/>
    <n v="1110"/>
    <n v="189.09800000000001"/>
    <n v="1696041"/>
    <n v="2.65"/>
    <m/>
    <m/>
    <x v="0"/>
    <x v="1"/>
    <x v="0"/>
    <m/>
    <m/>
    <m/>
    <m/>
    <m/>
    <m/>
    <m/>
    <m/>
    <m/>
    <m/>
    <m/>
    <m/>
    <m/>
    <m/>
    <m/>
  </r>
  <r>
    <x v="275"/>
    <x v="6"/>
    <d v="2017-12-09T00:00:00"/>
    <n v="9848"/>
    <n v="3.431"/>
    <n v="0"/>
    <n v="1.25"/>
    <n v="53.32"/>
    <n v="18285"/>
    <n v="790.82399999999996"/>
    <n v="108"/>
    <n v="22.849"/>
    <n v="487153"/>
    <n v="2.74"/>
    <m/>
    <m/>
    <x v="0"/>
    <x v="1"/>
    <x v="0"/>
    <m/>
    <m/>
    <m/>
    <m/>
    <m/>
    <m/>
    <m/>
    <m/>
    <m/>
    <m/>
    <m/>
    <m/>
    <m/>
    <m/>
    <m/>
  </r>
  <r>
    <x v="276"/>
    <x v="6"/>
    <d v="2017-12-06T00:00:00"/>
    <n v="32031"/>
    <n v="5.7679999999999998"/>
    <n v="0"/>
    <n v="2.6739999999999999"/>
    <n v="46.2"/>
    <n v="44596"/>
    <n v="3628.6622000000002"/>
    <n v="434"/>
    <n v="118.958"/>
    <n v="916609"/>
    <n v="2.86"/>
    <m/>
    <m/>
    <x v="0"/>
    <x v="1"/>
    <x v="0"/>
    <m/>
    <m/>
    <m/>
    <m/>
    <m/>
    <m/>
    <m/>
    <m/>
    <m/>
    <m/>
    <m/>
    <m/>
    <m/>
    <m/>
    <m/>
  </r>
  <r>
    <x v="277"/>
    <x v="6"/>
    <d v="2017-12-02T00:00:00"/>
    <n v="2162"/>
    <n v="3.5249999999999999"/>
    <n v="172"/>
    <n v="0.999"/>
    <n v="55.06"/>
    <n v="4990"/>
    <n v="183.16290000000001"/>
    <n v="12"/>
    <n v="4.9779999999999998"/>
    <n v="233555"/>
    <n v="1.59"/>
    <m/>
    <m/>
    <x v="0"/>
    <x v="1"/>
    <x v="1"/>
    <m/>
    <m/>
    <m/>
    <m/>
    <m/>
    <m/>
    <m/>
    <m/>
    <m/>
    <m/>
    <m/>
    <m/>
    <m/>
    <m/>
    <m/>
  </r>
  <r>
    <x v="278"/>
    <x v="6"/>
    <d v="2017-11-29T00:00:00"/>
    <n v="51147"/>
    <n v="5.2839999999999998"/>
    <n v="235"/>
    <n v="2.4039999999999999"/>
    <n v="38.26"/>
    <n v="72302"/>
    <n v="6447.2210999999998"/>
    <n v="884"/>
    <n v="173.315"/>
    <n v="1431696"/>
    <n v="3.27"/>
    <m/>
    <m/>
    <x v="0"/>
    <x v="1"/>
    <x v="0"/>
    <m/>
    <m/>
    <m/>
    <m/>
    <m/>
    <m/>
    <m/>
    <m/>
    <m/>
    <m/>
    <m/>
    <m/>
    <m/>
    <m/>
    <m/>
  </r>
  <r>
    <x v="279"/>
    <x v="6"/>
    <d v="2017-11-25T00:00:00"/>
    <n v="1045"/>
    <n v="4.5449999999999999"/>
    <n v="0"/>
    <n v="1.292"/>
    <n v="45.62"/>
    <n v="2622"/>
    <n v="128.91929999999999"/>
    <n v="0"/>
    <n v="3.3809999999999998"/>
    <n v="217573"/>
    <n v="0.84"/>
    <m/>
    <m/>
    <x v="0"/>
    <x v="1"/>
    <x v="1"/>
    <m/>
    <m/>
    <m/>
    <m/>
    <m/>
    <m/>
    <m/>
    <m/>
    <m/>
    <m/>
    <m/>
    <m/>
    <m/>
    <m/>
    <m/>
  </r>
  <r>
    <x v="280"/>
    <x v="6"/>
    <d v="2017-11-21T00:00:00"/>
    <n v="4019"/>
    <n v="3.6920000000000002"/>
    <n v="11"/>
    <n v="1.506"/>
    <n v="22.49"/>
    <n v="6419"/>
    <n v="541.01160000000004"/>
    <n v="34"/>
    <n v="9.6479999999999997"/>
    <n v="286443"/>
    <n v="1.51"/>
    <m/>
    <m/>
    <x v="0"/>
    <x v="1"/>
    <x v="1"/>
    <m/>
    <m/>
    <m/>
    <m/>
    <m/>
    <m/>
    <m/>
    <m/>
    <m/>
    <m/>
    <m/>
    <m/>
    <m/>
    <m/>
    <m/>
  </r>
  <r>
    <x v="281"/>
    <x v="6"/>
    <d v="2017-11-18T00:00:00"/>
    <n v="1455"/>
    <n v="3.78"/>
    <n v="100"/>
    <n v="1.133"/>
    <n v="45.98"/>
    <n v="3447"/>
    <n v="178.7371"/>
    <n v="3"/>
    <n v="3.8969999999999998"/>
    <n v="218182"/>
    <n v="1.07"/>
    <m/>
    <m/>
    <x v="0"/>
    <x v="1"/>
    <x v="1"/>
    <m/>
    <m/>
    <m/>
    <m/>
    <m/>
    <m/>
    <m/>
    <m/>
    <m/>
    <m/>
    <m/>
    <m/>
    <m/>
    <m/>
    <m/>
  </r>
  <r>
    <x v="282"/>
    <x v="6"/>
    <d v="2017-11-15T00:00:00"/>
    <n v="3235"/>
    <n v="5.2460000000000004"/>
    <n v="0"/>
    <n v="1.859"/>
    <n v="43.21"/>
    <n v="6003"/>
    <n v="463.3211"/>
    <n v="84"/>
    <n v="11.141"/>
    <n v="271455"/>
    <n v="1.42"/>
    <m/>
    <m/>
    <x v="0"/>
    <x v="1"/>
    <x v="1"/>
    <m/>
    <m/>
    <m/>
    <m/>
    <m/>
    <m/>
    <m/>
    <m/>
    <m/>
    <m/>
    <m/>
    <m/>
    <m/>
    <m/>
    <m/>
  </r>
  <r>
    <x v="283"/>
    <x v="6"/>
    <d v="2017-11-11T00:00:00"/>
    <n v="2972"/>
    <n v="3.359"/>
    <n v="272"/>
    <n v="0.88200000000000001"/>
    <n v="50.35"/>
    <n v="7294"/>
    <n v="262.17180000000002"/>
    <n v="17"/>
    <n v="6.423"/>
    <n v="251083"/>
    <n v="2.17"/>
    <m/>
    <m/>
    <x v="0"/>
    <x v="1"/>
    <x v="1"/>
    <m/>
    <m/>
    <m/>
    <m/>
    <m/>
    <m/>
    <m/>
    <m/>
    <m/>
    <m/>
    <m/>
    <m/>
    <m/>
    <m/>
    <m/>
  </r>
  <r>
    <x v="284"/>
    <x v="6"/>
    <d v="2017-11-08T00:00:00"/>
    <n v="10152"/>
    <n v="4.9710000000000001"/>
    <n v="58"/>
    <n v="2.1890000000000001"/>
    <n v="34.74"/>
    <n v="15221"/>
    <n v="1689.3155999999999"/>
    <n v="88"/>
    <n v="33.25"/>
    <n v="481739"/>
    <n v="2.02"/>
    <m/>
    <m/>
    <x v="0"/>
    <x v="1"/>
    <x v="0"/>
    <m/>
    <m/>
    <m/>
    <m/>
    <m/>
    <m/>
    <m/>
    <m/>
    <m/>
    <m/>
    <m/>
    <m/>
    <m/>
    <m/>
    <m/>
  </r>
  <r>
    <x v="285"/>
    <x v="6"/>
    <d v="2017-11-02T00:00:00"/>
    <n v="996"/>
    <n v="3.911"/>
    <n v="118"/>
    <n v="1.0640000000000001"/>
    <n v="50.41"/>
    <n v="2517"/>
    <n v="119.4843"/>
    <n v="1"/>
    <n v="2.67"/>
    <n v="209191"/>
    <n v="0.84"/>
    <m/>
    <m/>
    <x v="0"/>
    <x v="1"/>
    <x v="1"/>
    <m/>
    <m/>
    <m/>
    <m/>
    <m/>
    <m/>
    <m/>
    <m/>
    <m/>
    <m/>
    <m/>
    <m/>
    <m/>
    <m/>
    <m/>
  </r>
  <r>
    <x v="286"/>
    <x v="6"/>
    <d v="2017-10-28T00:00:00"/>
    <n v="4792"/>
    <n v="4.0570000000000004"/>
    <n v="42"/>
    <n v="1.5760000000000001"/>
    <n v="34.93"/>
    <n v="8023"/>
    <n v="632.16020000000003"/>
    <n v="66"/>
    <n v="12.637"/>
    <n v="334019"/>
    <n v="1.45"/>
    <m/>
    <m/>
    <x v="0"/>
    <x v="1"/>
    <x v="1"/>
    <m/>
    <m/>
    <m/>
    <m/>
    <m/>
    <m/>
    <m/>
    <m/>
    <m/>
    <m/>
    <m/>
    <m/>
    <m/>
    <m/>
    <m/>
  </r>
  <r>
    <x v="287"/>
    <x v="6"/>
    <d v="2017-10-24T00:00:00"/>
    <n v="21176"/>
    <n v="4.9039999999999999"/>
    <n v="393"/>
    <n v="2.2999999999999998"/>
    <n v="57.07"/>
    <n v="28767"/>
    <n v="1199.4208000000001"/>
    <n v="220"/>
    <n v="66.093999999999994"/>
    <n v="531398"/>
    <n v="3.06"/>
    <m/>
    <m/>
    <x v="0"/>
    <x v="1"/>
    <x v="0"/>
    <m/>
    <m/>
    <m/>
    <m/>
    <m/>
    <m/>
    <m/>
    <m/>
    <m/>
    <m/>
    <m/>
    <m/>
    <m/>
    <m/>
    <m/>
  </r>
  <r>
    <x v="288"/>
    <x v="6"/>
    <d v="2017-10-21T00:00:00"/>
    <n v="2784"/>
    <n v="3.5990000000000002"/>
    <n v="186"/>
    <n v="0.92"/>
    <n v="53.69"/>
    <n v="6859"/>
    <n v="161.62180000000001"/>
    <n v="6"/>
    <n v="6.2919999999999998"/>
    <n v="217140"/>
    <n v="2.2599999999999998"/>
    <m/>
    <m/>
    <x v="0"/>
    <x v="1"/>
    <x v="1"/>
    <m/>
    <m/>
    <m/>
    <m/>
    <m/>
    <m/>
    <m/>
    <m/>
    <m/>
    <m/>
    <m/>
    <m/>
    <m/>
    <m/>
    <m/>
  </r>
  <r>
    <x v="289"/>
    <x v="6"/>
    <d v="2017-10-17T00:00:00"/>
    <n v="6193"/>
    <n v="3.5470000000000002"/>
    <n v="41"/>
    <n v="1.3180000000000001"/>
    <n v="34.799999999999997"/>
    <n v="10382"/>
    <n v="741.60239999999999"/>
    <n v="60"/>
    <n v="13.656000000000001"/>
    <n v="328432"/>
    <n v="1.87"/>
    <m/>
    <m/>
    <x v="0"/>
    <x v="1"/>
    <x v="1"/>
    <m/>
    <m/>
    <m/>
    <m/>
    <m/>
    <m/>
    <m/>
    <m/>
    <m/>
    <m/>
    <m/>
    <m/>
    <m/>
    <m/>
    <m/>
  </r>
  <r>
    <x v="290"/>
    <x v="6"/>
    <d v="2017-10-15T00:00:00"/>
    <n v="71111"/>
    <n v="4.9569999999999999"/>
    <n v="450"/>
    <n v="2.242"/>
    <n v="36.51"/>
    <n v="101616"/>
    <n v="7955.0537999999997"/>
    <n v="1249"/>
    <n v="227.45500000000001"/>
    <n v="1459534"/>
    <n v="4.29"/>
    <m/>
    <m/>
    <x v="0"/>
    <x v="1"/>
    <x v="0"/>
    <m/>
    <m/>
    <m/>
    <m/>
    <m/>
    <m/>
    <m/>
    <m/>
    <m/>
    <m/>
    <m/>
    <m/>
    <m/>
    <m/>
    <m/>
  </r>
  <r>
    <x v="291"/>
    <x v="6"/>
    <d v="2017-10-12T00:00:00"/>
    <n v="3889"/>
    <n v="4.07"/>
    <n v="786"/>
    <n v="0.98299999999999998"/>
    <n v="50.89"/>
    <n v="9787"/>
    <n v="228.26169999999999"/>
    <n v="39"/>
    <n v="9.6050000000000004"/>
    <n v="254007"/>
    <n v="2.61"/>
    <m/>
    <m/>
    <x v="0"/>
    <x v="1"/>
    <x v="1"/>
    <m/>
    <m/>
    <m/>
    <m/>
    <m/>
    <m/>
    <m/>
    <m/>
    <m/>
    <m/>
    <m/>
    <m/>
    <m/>
    <m/>
    <m/>
  </r>
  <r>
    <x v="292"/>
    <x v="6"/>
    <d v="2017-10-05T00:00:00"/>
    <n v="16574"/>
    <n v="5.3239999999999998"/>
    <n v="181"/>
    <n v="2.2949999999999999"/>
    <n v="36.979999999999997"/>
    <n v="25714"/>
    <n v="2118.4821000000002"/>
    <n v="306"/>
    <n v="58.923000000000002"/>
    <n v="484908"/>
    <n v="3.1"/>
    <m/>
    <m/>
    <x v="0"/>
    <x v="1"/>
    <x v="0"/>
    <m/>
    <m/>
    <m/>
    <m/>
    <m/>
    <m/>
    <m/>
    <m/>
    <m/>
    <m/>
    <m/>
    <m/>
    <m/>
    <m/>
    <m/>
  </r>
  <r>
    <x v="293"/>
    <x v="6"/>
    <d v="2017-10-01T00:00:00"/>
    <n v="20172"/>
    <n v="3.3730000000000002"/>
    <n v="110"/>
    <n v="1.3049999999999999"/>
    <n v="29.17"/>
    <n v="33236"/>
    <n v="1464.9565"/>
    <n v="545"/>
    <n v="43.326000000000001"/>
    <n v="537176"/>
    <n v="4.24"/>
    <m/>
    <m/>
    <x v="0"/>
    <x v="1"/>
    <x v="0"/>
    <m/>
    <m/>
    <m/>
    <m/>
    <m/>
    <m/>
    <m/>
    <m/>
    <m/>
    <m/>
    <m/>
    <m/>
    <m/>
    <m/>
    <m/>
  </r>
  <r>
    <x v="294"/>
    <x v="6"/>
    <d v="2017-09-30T00:00:00"/>
    <n v="2168"/>
    <n v="5.1109999999999998"/>
    <n v="611"/>
    <n v="1.4510000000000001"/>
    <n v="54.69"/>
    <n v="5144"/>
    <n v="245.3835"/>
    <n v="8"/>
    <n v="7.4470000000000001"/>
    <n v="233584"/>
    <n v="1.49"/>
    <m/>
    <m/>
    <x v="0"/>
    <x v="1"/>
    <x v="1"/>
    <m/>
    <m/>
    <m/>
    <m/>
    <m/>
    <m/>
    <m/>
    <m/>
    <m/>
    <m/>
    <m/>
    <m/>
    <m/>
    <m/>
    <m/>
  </r>
  <r>
    <x v="295"/>
    <x v="6"/>
    <d v="2017-09-26T00:00:00"/>
    <n v="1130"/>
    <n v="3.8769999999999998"/>
    <n v="358"/>
    <n v="0.93600000000000005"/>
    <n v="56.41"/>
    <n v="3065"/>
    <n v="109.495"/>
    <n v="0"/>
    <n v="2.8679999999999999"/>
    <n v="200305"/>
    <n v="0.96"/>
    <m/>
    <m/>
    <x v="0"/>
    <x v="1"/>
    <x v="1"/>
    <m/>
    <m/>
    <m/>
    <m/>
    <m/>
    <m/>
    <m/>
    <m/>
    <m/>
    <m/>
    <m/>
    <m/>
    <m/>
    <m/>
    <m/>
  </r>
  <r>
    <x v="296"/>
    <x v="6"/>
    <d v="2017-09-23T00:00:00"/>
    <n v="15325"/>
    <n v="6.1310000000000002"/>
    <n v="110"/>
    <n v="2.8839999999999999"/>
    <n v="43.92"/>
    <n v="21020"/>
    <n v="1582.3316"/>
    <n v="243"/>
    <n v="60.582000000000001"/>
    <n v="441687"/>
    <n v="3.33"/>
    <m/>
    <m/>
    <x v="0"/>
    <x v="1"/>
    <x v="0"/>
    <m/>
    <m/>
    <m/>
    <m/>
    <m/>
    <m/>
    <m/>
    <m/>
    <m/>
    <m/>
    <m/>
    <m/>
    <m/>
    <m/>
    <m/>
  </r>
  <r>
    <x v="297"/>
    <x v="6"/>
    <d v="2017-09-22T00:00:00"/>
    <n v="1903"/>
    <n v="3.4729999999999999"/>
    <n v="483"/>
    <n v="0.877"/>
    <n v="55.35"/>
    <n v="4898"/>
    <n v="173.96080000000001"/>
    <n v="15"/>
    <n v="4.2880000000000003"/>
    <n v="217155"/>
    <n v="1.51"/>
    <m/>
    <m/>
    <x v="0"/>
    <x v="1"/>
    <x v="1"/>
    <m/>
    <m/>
    <m/>
    <m/>
    <m/>
    <m/>
    <m/>
    <m/>
    <m/>
    <m/>
    <m/>
    <m/>
    <m/>
    <m/>
    <m/>
  </r>
  <r>
    <x v="298"/>
    <x v="6"/>
    <d v="2017-09-20T00:00:00"/>
    <n v="1250"/>
    <n v="4.2389999999999999"/>
    <n v="513"/>
    <n v="0.94299999999999995"/>
    <n v="57.55"/>
    <n v="3683"/>
    <n v="148.37100000000001"/>
    <n v="5"/>
    <n v="3.4710000000000001"/>
    <n v="202107"/>
    <n v="1.19"/>
    <m/>
    <m/>
    <x v="0"/>
    <x v="1"/>
    <x v="1"/>
    <m/>
    <m/>
    <m/>
    <m/>
    <m/>
    <m/>
    <m/>
    <m/>
    <m/>
    <m/>
    <m/>
    <m/>
    <m/>
    <m/>
    <m/>
  </r>
  <r>
    <x v="299"/>
    <x v="6"/>
    <d v="2017-09-15T00:00:00"/>
    <n v="1516"/>
    <n v="4.4489999999999998"/>
    <n v="392"/>
    <n v="1.0820000000000001"/>
    <n v="54.03"/>
    <n v="3838"/>
    <n v="102.53149999999999"/>
    <n v="2"/>
    <n v="4.1500000000000004"/>
    <n v="202957"/>
    <n v="1.27"/>
    <m/>
    <m/>
    <x v="0"/>
    <x v="1"/>
    <x v="1"/>
    <m/>
    <m/>
    <m/>
    <m/>
    <m/>
    <m/>
    <m/>
    <m/>
    <m/>
    <m/>
    <m/>
    <m/>
    <m/>
    <m/>
    <m/>
  </r>
  <r>
    <x v="300"/>
    <x v="6"/>
    <d v="2017-09-11T00:00:00"/>
    <n v="2419"/>
    <n v="3.9929999999999999"/>
    <n v="430"/>
    <n v="1.2849999999999999"/>
    <n v="51.08"/>
    <n v="5293"/>
    <n v="248.60810000000001"/>
    <n v="6"/>
    <n v="6.7919999999999998"/>
    <n v="212883"/>
    <n v="1.69"/>
    <m/>
    <m/>
    <x v="0"/>
    <x v="1"/>
    <x v="1"/>
    <m/>
    <m/>
    <m/>
    <m/>
    <m/>
    <m/>
    <m/>
    <m/>
    <m/>
    <m/>
    <m/>
    <m/>
    <m/>
    <m/>
    <m/>
  </r>
  <r>
    <x v="301"/>
    <x v="6"/>
    <d v="2017-09-09T00:00:00"/>
    <n v="154"/>
    <n v="4.8970000000000002"/>
    <n v="0"/>
    <n v="0.54700000000000004"/>
    <n v="43.98"/>
    <n v="773"/>
    <n v="10.4817"/>
    <n v="0"/>
    <n v="0.42199999999999999"/>
    <n v="3339"/>
    <n v="8.92"/>
    <m/>
    <m/>
    <x v="0"/>
    <x v="1"/>
    <x v="1"/>
    <m/>
    <m/>
    <m/>
    <m/>
    <m/>
    <m/>
    <m/>
    <m/>
    <m/>
    <m/>
    <m/>
    <m/>
    <m/>
    <m/>
    <m/>
  </r>
  <r>
    <x v="302"/>
    <x v="6"/>
    <d v="2017-09-07T00:00:00"/>
    <n v="4185"/>
    <n v="3.6579999999999999"/>
    <n v="496"/>
    <n v="1.119"/>
    <n v="46.5"/>
    <n v="9177"/>
    <n v="536.976"/>
    <n v="15"/>
    <n v="10.249000000000001"/>
    <n v="241258"/>
    <n v="2.31"/>
    <m/>
    <m/>
    <x v="0"/>
    <x v="1"/>
    <x v="1"/>
    <m/>
    <m/>
    <m/>
    <m/>
    <m/>
    <m/>
    <m/>
    <m/>
    <m/>
    <m/>
    <m/>
    <m/>
    <m/>
    <m/>
    <m/>
  </r>
  <r>
    <x v="303"/>
    <x v="6"/>
    <d v="2017-09-02T00:00:00"/>
    <n v="7580"/>
    <n v="3.0350000000000001"/>
    <n v="1891"/>
    <n v="0.81499999999999995"/>
    <n v="48.27"/>
    <n v="18030"/>
    <n v="481.07780000000002"/>
    <n v="93"/>
    <n v="14.664"/>
    <n v="277927"/>
    <n v="5.33"/>
    <m/>
    <m/>
    <x v="0"/>
    <x v="1"/>
    <x v="0"/>
    <m/>
    <m/>
    <m/>
    <m/>
    <m/>
    <m/>
    <m/>
    <m/>
    <m/>
    <m/>
    <m/>
    <m/>
    <m/>
    <m/>
    <m/>
  </r>
  <r>
    <x v="304"/>
    <x v="6"/>
    <d v="2017-08-30T00:00:00"/>
    <n v="17870"/>
    <n v="3.9750000000000001"/>
    <n v="0"/>
    <n v="1.966"/>
    <n v="45.8"/>
    <n v="22559"/>
    <n v="2586.9168"/>
    <n v="205"/>
    <n v="43.496000000000002"/>
    <n v="611181"/>
    <n v="2.06"/>
    <m/>
    <m/>
    <x v="0"/>
    <x v="1"/>
    <x v="0"/>
    <m/>
    <m/>
    <m/>
    <m/>
    <m/>
    <m/>
    <m/>
    <m/>
    <m/>
    <m/>
    <m/>
    <m/>
    <m/>
    <m/>
    <m/>
  </r>
  <r>
    <x v="305"/>
    <x v="6"/>
    <d v="2017-08-24T00:00:00"/>
    <n v="628"/>
    <n v="6.8319999999999999"/>
    <n v="0"/>
    <n v="1.419"/>
    <n v="37.78"/>
    <n v="2021"/>
    <n v="75.509399999999999"/>
    <n v="0"/>
    <n v="2.8620000000000001"/>
    <n v="190941"/>
    <n v="0.75"/>
    <m/>
    <m/>
    <x v="0"/>
    <x v="1"/>
    <x v="1"/>
    <m/>
    <m/>
    <m/>
    <m/>
    <m/>
    <m/>
    <m/>
    <m/>
    <m/>
    <m/>
    <m/>
    <m/>
    <m/>
    <m/>
    <m/>
  </r>
  <r>
    <x v="306"/>
    <x v="6"/>
    <d v="2017-08-19T00:00:00"/>
    <n v="488"/>
    <n v="4.6040000000000001"/>
    <n v="0"/>
    <n v="0.97399999999999998"/>
    <n v="49.87"/>
    <n v="1526"/>
    <n v="54.333500000000001"/>
    <n v="3"/>
    <n v="1.484"/>
    <n v="189937"/>
    <n v="0.55000000000000004"/>
    <m/>
    <m/>
    <x v="0"/>
    <x v="1"/>
    <x v="1"/>
    <m/>
    <m/>
    <m/>
    <m/>
    <m/>
    <m/>
    <m/>
    <m/>
    <m/>
    <m/>
    <m/>
    <m/>
    <m/>
    <m/>
    <m/>
  </r>
  <r>
    <x v="307"/>
    <x v="6"/>
    <d v="2017-08-19T00:00:00"/>
    <n v="867"/>
    <n v="3.6789999999999998"/>
    <n v="0"/>
    <n v="0.84399999999999997"/>
    <n v="31.75"/>
    <n v="2572"/>
    <n v="100.0373"/>
    <n v="5"/>
    <n v="2.1669999999999998"/>
    <n v="192701"/>
    <n v="1.01"/>
    <m/>
    <m/>
    <x v="0"/>
    <x v="1"/>
    <x v="1"/>
    <m/>
    <m/>
    <m/>
    <m/>
    <m/>
    <m/>
    <m/>
    <m/>
    <m/>
    <m/>
    <m/>
    <m/>
    <m/>
    <m/>
    <m/>
  </r>
  <r>
    <x v="308"/>
    <x v="6"/>
    <d v="2017-08-16T00:00:00"/>
    <n v="318"/>
    <n v="4.6790000000000003"/>
    <n v="0"/>
    <n v="1.226"/>
    <n v="47.7"/>
    <n v="815"/>
    <n v="26.454999999999998"/>
    <n v="0"/>
    <n v="0.998"/>
    <n v="183866"/>
    <n v="0.31"/>
    <m/>
    <m/>
    <x v="0"/>
    <x v="1"/>
    <x v="1"/>
    <m/>
    <m/>
    <m/>
    <m/>
    <m/>
    <m/>
    <m/>
    <m/>
    <m/>
    <m/>
    <m/>
    <m/>
    <m/>
    <m/>
    <m/>
  </r>
  <r>
    <x v="309"/>
    <x v="6"/>
    <d v="2017-08-12T00:00:00"/>
    <n v="476"/>
    <n v="5.0970000000000004"/>
    <n v="0"/>
    <n v="1.35"/>
    <n v="43.52"/>
    <n v="1194"/>
    <n v="44.890700000000002"/>
    <n v="0"/>
    <n v="1.609"/>
    <n v="188292"/>
    <n v="0.36"/>
    <m/>
    <m/>
    <x v="0"/>
    <x v="1"/>
    <x v="1"/>
    <m/>
    <m/>
    <m/>
    <m/>
    <m/>
    <m/>
    <m/>
    <m/>
    <m/>
    <m/>
    <m/>
    <m/>
    <m/>
    <m/>
    <m/>
  </r>
  <r>
    <x v="310"/>
    <x v="6"/>
    <d v="2017-08-11T00:00:00"/>
    <n v="855"/>
    <n v="4.4530000000000003"/>
    <n v="0"/>
    <n v="0.93300000000000005"/>
    <n v="46.96"/>
    <n v="2789"/>
    <n v="74.587900000000005"/>
    <n v="2"/>
    <n v="2.5960000000000001"/>
    <n v="193309"/>
    <n v="1.1100000000000001"/>
    <m/>
    <m/>
    <x v="0"/>
    <x v="1"/>
    <x v="1"/>
    <m/>
    <m/>
    <m/>
    <m/>
    <m/>
    <m/>
    <m/>
    <m/>
    <m/>
    <m/>
    <m/>
    <m/>
    <m/>
    <m/>
    <m/>
  </r>
  <r>
    <x v="311"/>
    <x v="6"/>
    <d v="2017-08-10T00:00:00"/>
    <n v="6336"/>
    <n v="4.4950000000000001"/>
    <n v="52"/>
    <n v="2.1669999999999998"/>
    <n v="41.77"/>
    <n v="9290"/>
    <n v="550.80129999999997"/>
    <n v="43"/>
    <n v="19.890999999999998"/>
    <n v="305622"/>
    <n v="1.92"/>
    <m/>
    <m/>
    <x v="0"/>
    <x v="1"/>
    <x v="1"/>
    <m/>
    <m/>
    <m/>
    <m/>
    <m/>
    <m/>
    <m/>
    <m/>
    <m/>
    <m/>
    <m/>
    <m/>
    <m/>
    <m/>
    <m/>
  </r>
  <r>
    <x v="312"/>
    <x v="6"/>
    <d v="2017-08-08T00:00:00"/>
    <n v="281"/>
    <n v="4.3040000000000003"/>
    <n v="9"/>
    <n v="0.81200000000000006"/>
    <n v="48.99"/>
    <n v="1014"/>
    <n v="25.390899999999998"/>
    <n v="1"/>
    <n v="0.82199999999999995"/>
    <n v="184498"/>
    <n v="0.39"/>
    <m/>
    <m/>
    <x v="0"/>
    <x v="1"/>
    <x v="1"/>
    <m/>
    <m/>
    <m/>
    <m/>
    <m/>
    <m/>
    <m/>
    <m/>
    <m/>
    <m/>
    <m/>
    <m/>
    <m/>
    <m/>
    <m/>
  </r>
  <r>
    <x v="313"/>
    <x v="6"/>
    <d v="2017-08-06T00:00:00"/>
    <n v="1159"/>
    <n v="5.8259999999999996"/>
    <n v="0"/>
    <n v="1.5640000000000001"/>
    <n v="42.97"/>
    <n v="2846"/>
    <n v="69.3001"/>
    <n v="5"/>
    <n v="4.444"/>
    <n v="171000"/>
    <n v="1.31"/>
    <m/>
    <m/>
    <x v="0"/>
    <x v="1"/>
    <x v="1"/>
    <m/>
    <m/>
    <m/>
    <m/>
    <m/>
    <m/>
    <m/>
    <m/>
    <m/>
    <m/>
    <m/>
    <m/>
    <m/>
    <m/>
    <m/>
  </r>
  <r>
    <x v="314"/>
    <x v="6"/>
    <d v="2017-08-04T00:00:00"/>
    <n v="747"/>
    <n v="3.9169999999999998"/>
    <n v="0"/>
    <n v="0.76700000000000002"/>
    <n v="50.92"/>
    <n v="2275"/>
    <n v="38.6113"/>
    <n v="3"/>
    <n v="1.742"/>
    <n v="189495"/>
    <n v="0.96"/>
    <m/>
    <m/>
    <x v="0"/>
    <x v="1"/>
    <x v="1"/>
    <m/>
    <m/>
    <m/>
    <m/>
    <m/>
    <m/>
    <m/>
    <m/>
    <m/>
    <m/>
    <m/>
    <m/>
    <m/>
    <m/>
    <m/>
  </r>
  <r>
    <x v="315"/>
    <x v="6"/>
    <d v="2017-08-03T00:00:00"/>
    <n v="2971"/>
    <n v="5.0720000000000001"/>
    <n v="0"/>
    <n v="1.5880000000000001"/>
    <n v="38.270000000000003"/>
    <n v="6356"/>
    <n v="212.8536"/>
    <n v="22"/>
    <n v="10.069000000000001"/>
    <n v="201235"/>
    <n v="2.5099999999999998"/>
    <m/>
    <m/>
    <x v="0"/>
    <x v="1"/>
    <x v="1"/>
    <m/>
    <m/>
    <m/>
    <m/>
    <m/>
    <m/>
    <m/>
    <m/>
    <m/>
    <m/>
    <m/>
    <m/>
    <m/>
    <m/>
    <m/>
  </r>
  <r>
    <x v="316"/>
    <x v="6"/>
    <d v="2017-08-01T00:00:00"/>
    <n v="523"/>
    <n v="5.0709999999999997"/>
    <n v="0"/>
    <n v="1.091"/>
    <n v="47.45"/>
    <n v="1649"/>
    <n v="42.599499999999999"/>
    <n v="2"/>
    <n v="1.796"/>
    <n v="187850"/>
    <n v="0.65"/>
    <m/>
    <m/>
    <x v="0"/>
    <x v="1"/>
    <x v="1"/>
    <m/>
    <m/>
    <m/>
    <m/>
    <m/>
    <m/>
    <m/>
    <m/>
    <m/>
    <m/>
    <m/>
    <m/>
    <m/>
    <m/>
    <m/>
  </r>
  <r>
    <x v="317"/>
    <x v="6"/>
    <d v="2017-07-31T00:00:00"/>
    <n v="4145"/>
    <n v="6.4859999999999998"/>
    <n v="0"/>
    <n v="2.1"/>
    <n v="38.68"/>
    <n v="8244"/>
    <n v="253.3477"/>
    <n v="18"/>
    <n v="17.286000000000001"/>
    <n v="207035"/>
    <n v="2.98"/>
    <m/>
    <m/>
    <x v="0"/>
    <x v="1"/>
    <x v="1"/>
    <m/>
    <m/>
    <m/>
    <m/>
    <m/>
    <m/>
    <m/>
    <m/>
    <m/>
    <m/>
    <m/>
    <m/>
    <m/>
    <m/>
    <m/>
  </r>
  <r>
    <x v="318"/>
    <x v="6"/>
    <d v="2017-07-28T00:00:00"/>
    <n v="961"/>
    <n v="5.6310000000000002"/>
    <n v="0"/>
    <n v="1.286"/>
    <n v="37.619999999999997"/>
    <n v="2725"/>
    <n v="72.337999999999994"/>
    <n v="1"/>
    <n v="3.4990000000000001"/>
    <n v="184485"/>
    <n v="1.08"/>
    <m/>
    <m/>
    <x v="0"/>
    <x v="1"/>
    <x v="1"/>
    <m/>
    <m/>
    <m/>
    <m/>
    <m/>
    <m/>
    <m/>
    <m/>
    <m/>
    <m/>
    <m/>
    <m/>
    <m/>
    <m/>
    <m/>
  </r>
  <r>
    <x v="319"/>
    <x v="6"/>
    <d v="2017-07-26T00:00:00"/>
    <n v="3074"/>
    <n v="5.0049999999999999"/>
    <n v="131"/>
    <n v="1.2949999999999999"/>
    <n v="33.1"/>
    <n v="7539"/>
    <n v="163.58920000000001"/>
    <n v="16"/>
    <n v="9.74"/>
    <n v="194385"/>
    <n v="2.42"/>
    <m/>
    <m/>
    <x v="0"/>
    <x v="1"/>
    <x v="1"/>
    <m/>
    <m/>
    <m/>
    <m/>
    <m/>
    <m/>
    <m/>
    <m/>
    <m/>
    <m/>
    <m/>
    <m/>
    <m/>
    <m/>
    <m/>
  </r>
  <r>
    <x v="320"/>
    <x v="6"/>
    <d v="2017-07-23T00:00:00"/>
    <n v="2048"/>
    <n v="3.9460000000000002"/>
    <n v="0"/>
    <n v="0.97699999999999998"/>
    <n v="40.57"/>
    <n v="5558"/>
    <n v="178.50970000000001"/>
    <n v="9"/>
    <n v="5.423"/>
    <n v="205477"/>
    <n v="2.11"/>
    <m/>
    <m/>
    <x v="0"/>
    <x v="1"/>
    <x v="1"/>
    <m/>
    <m/>
    <m/>
    <m/>
    <m/>
    <m/>
    <m/>
    <m/>
    <m/>
    <m/>
    <m/>
    <m/>
    <m/>
    <m/>
    <m/>
  </r>
  <r>
    <x v="321"/>
    <x v="6"/>
    <d v="2017-07-19T00:00:00"/>
    <n v="5554"/>
    <n v="4.2149999999999999"/>
    <n v="76"/>
    <n v="1.7809999999999999"/>
    <n v="49.33"/>
    <n v="8560"/>
    <n v="391.75349999999997"/>
    <n v="23"/>
    <n v="15.061"/>
    <n v="301912"/>
    <n v="1.79"/>
    <m/>
    <m/>
    <x v="0"/>
    <x v="1"/>
    <x v="1"/>
    <m/>
    <m/>
    <m/>
    <m/>
    <m/>
    <m/>
    <m/>
    <m/>
    <m/>
    <m/>
    <m/>
    <m/>
    <m/>
    <m/>
    <m/>
  </r>
  <r>
    <x v="322"/>
    <x v="6"/>
    <d v="2017-07-18T00:00:00"/>
    <n v="1253"/>
    <n v="4.702"/>
    <n v="118"/>
    <n v="1.0509999999999999"/>
    <n v="47.07"/>
    <n v="3773"/>
    <n v="141.0968"/>
    <n v="2"/>
    <n v="3.9590000000000001"/>
    <n v="197194"/>
    <n v="1.45"/>
    <m/>
    <m/>
    <x v="0"/>
    <x v="1"/>
    <x v="1"/>
    <m/>
    <m/>
    <m/>
    <m/>
    <m/>
    <m/>
    <m/>
    <m/>
    <m/>
    <m/>
    <m/>
    <m/>
    <m/>
    <m/>
    <m/>
  </r>
  <r>
    <x v="323"/>
    <x v="6"/>
    <d v="2017-07-15T00:00:00"/>
    <n v="4148"/>
    <n v="4.1289999999999996"/>
    <n v="153"/>
    <n v="1.1519999999999999"/>
    <n v="44.96"/>
    <n v="9764"/>
    <n v="274.39859999999999"/>
    <n v="27"/>
    <n v="11.241"/>
    <n v="199037"/>
    <n v="3.82"/>
    <m/>
    <m/>
    <x v="0"/>
    <x v="1"/>
    <x v="1"/>
    <m/>
    <m/>
    <m/>
    <m/>
    <m/>
    <m/>
    <m/>
    <m/>
    <m/>
    <m/>
    <m/>
    <m/>
    <m/>
    <m/>
    <m/>
  </r>
  <r>
    <x v="324"/>
    <x v="6"/>
    <d v="2017-07-12T00:00:00"/>
    <n v="3102"/>
    <n v="3.4710000000000001"/>
    <n v="115"/>
    <n v="1.1759999999999999"/>
    <n v="53.24"/>
    <n v="5838"/>
    <n v="183.8843"/>
    <n v="9"/>
    <n v="6.7960000000000003"/>
    <n v="268902"/>
    <n v="1.37"/>
    <m/>
    <m/>
    <x v="0"/>
    <x v="1"/>
    <x v="1"/>
    <m/>
    <m/>
    <m/>
    <m/>
    <m/>
    <m/>
    <m/>
    <m/>
    <m/>
    <m/>
    <m/>
    <m/>
    <m/>
    <m/>
    <m/>
  </r>
  <r>
    <x v="325"/>
    <x v="6"/>
    <d v="2017-07-04T00:00:00"/>
    <n v="3302"/>
    <n v="4.0579999999999998"/>
    <n v="61"/>
    <n v="1.405"/>
    <n v="54.06"/>
    <n v="5843"/>
    <n v="139.51339999999999"/>
    <n v="13"/>
    <n v="8.1140000000000008"/>
    <n v="298034"/>
    <n v="1.33"/>
    <m/>
    <m/>
    <x v="0"/>
    <x v="1"/>
    <x v="1"/>
    <m/>
    <m/>
    <m/>
    <m/>
    <m/>
    <m/>
    <m/>
    <m/>
    <m/>
    <m/>
    <m/>
    <m/>
    <m/>
    <m/>
    <m/>
  </r>
  <r>
    <x v="326"/>
    <x v="6"/>
    <d v="2017-06-24T00:00:00"/>
    <n v="7866"/>
    <n v="3.7959999999999998"/>
    <n v="93"/>
    <n v="1.5"/>
    <n v="49.53"/>
    <n v="12216"/>
    <n v="484.10129999999998"/>
    <n v="63"/>
    <n v="18.152999999999999"/>
    <n v="412913"/>
    <n v="1.69"/>
    <m/>
    <m/>
    <x v="0"/>
    <x v="1"/>
    <x v="1"/>
    <m/>
    <m/>
    <m/>
    <m/>
    <m/>
    <m/>
    <m/>
    <m/>
    <m/>
    <m/>
    <m/>
    <m/>
    <m/>
    <m/>
    <m/>
  </r>
  <r>
    <x v="327"/>
    <x v="6"/>
    <d v="2017-06-22T00:00:00"/>
    <n v="10132"/>
    <n v="4.9660000000000002"/>
    <n v="259"/>
    <n v="2.1219999999999999"/>
    <n v="50.79"/>
    <n v="15440"/>
    <n v="557.68089999999995"/>
    <n v="93"/>
    <n v="32.491"/>
    <n v="445551"/>
    <n v="2.33"/>
    <m/>
    <m/>
    <x v="0"/>
    <x v="1"/>
    <x v="0"/>
    <m/>
    <m/>
    <m/>
    <m/>
    <m/>
    <m/>
    <m/>
    <m/>
    <m/>
    <m/>
    <m/>
    <m/>
    <m/>
    <m/>
    <m/>
  </r>
  <r>
    <x v="328"/>
    <x v="6"/>
    <d v="2017-06-20T00:00:00"/>
    <n v="37166"/>
    <n v="4.2249999999999996"/>
    <n v="354"/>
    <n v="1.919"/>
    <n v="37.659999999999997"/>
    <n v="53031"/>
    <n v="1930.8369"/>
    <n v="516"/>
    <n v="101.255"/>
    <n v="598777"/>
    <n v="5.46"/>
    <m/>
    <m/>
    <x v="0"/>
    <x v="1"/>
    <x v="0"/>
    <m/>
    <m/>
    <m/>
    <m/>
    <m/>
    <m/>
    <m/>
    <m/>
    <m/>
    <m/>
    <m/>
    <m/>
    <m/>
    <m/>
    <m/>
  </r>
  <r>
    <x v="329"/>
    <x v="6"/>
    <d v="2017-04-30T00:00:00"/>
    <n v="914"/>
    <n v="5.1589999999999998"/>
    <n v="4"/>
    <n v="0.91400000000000003"/>
    <n v="24.74"/>
    <n v="3305"/>
    <n v="50.176000000000002"/>
    <n v="8"/>
    <n v="3.0089999999999999"/>
    <n v="232355"/>
    <n v="1.1299999999999999"/>
    <m/>
    <m/>
    <x v="0"/>
    <x v="1"/>
    <x v="1"/>
    <m/>
    <m/>
    <m/>
    <m/>
    <m/>
    <m/>
    <m/>
    <m/>
    <m/>
    <m/>
    <m/>
    <m/>
    <m/>
    <m/>
    <m/>
  </r>
  <r>
    <x v="330"/>
    <x v="6"/>
    <d v="2017-04-23T00:00:00"/>
    <n v="0"/>
    <m/>
    <n v="5"/>
    <n v="0"/>
    <n v="25.35"/>
    <n v="2555"/>
    <n v="34.000900000000001"/>
    <n v="4"/>
    <n v="0"/>
    <n v="221754"/>
    <n v="0.95"/>
    <m/>
    <m/>
    <x v="0"/>
    <x v="1"/>
    <x v="1"/>
    <m/>
    <m/>
    <m/>
    <m/>
    <m/>
    <m/>
    <m/>
    <m/>
    <m/>
    <m/>
    <m/>
    <m/>
    <m/>
    <m/>
    <m/>
  </r>
  <r>
    <x v="331"/>
    <x v="6"/>
    <d v="2017-02-26T00:00:00"/>
    <n v="0"/>
    <m/>
    <n v="0"/>
    <n v="0"/>
    <n v="19.64"/>
    <n v="3418"/>
    <n v="35.996200000000002"/>
    <n v="3"/>
    <n v="0"/>
    <n v="220332"/>
    <n v="1.25"/>
    <m/>
    <m/>
    <x v="0"/>
    <x v="1"/>
    <x v="1"/>
    <m/>
    <m/>
    <m/>
    <m/>
    <m/>
    <m/>
    <m/>
    <m/>
    <m/>
    <m/>
    <m/>
    <m/>
    <m/>
    <m/>
    <m/>
  </r>
  <r>
    <x v="332"/>
    <x v="6"/>
    <d v="2017-01-28T00:00:00"/>
    <n v="1397"/>
    <n v="4.1139999999999999"/>
    <n v="6"/>
    <n v="0.378"/>
    <n v="18.46"/>
    <n v="5040"/>
    <n v="55.059199999999997"/>
    <n v="0"/>
    <n v="1.9039999999999999"/>
    <n v="196035"/>
    <n v="2.15"/>
    <m/>
    <m/>
    <x v="0"/>
    <x v="1"/>
    <x v="1"/>
    <m/>
    <m/>
    <m/>
    <m/>
    <m/>
    <m/>
    <m/>
    <m/>
    <m/>
    <m/>
    <m/>
    <m/>
    <m/>
    <m/>
    <m/>
  </r>
  <r>
    <x v="333"/>
    <x v="6"/>
    <d v="2017-01-18T00:00:00"/>
    <n v="0"/>
    <m/>
    <m/>
    <m/>
    <m/>
    <m/>
    <m/>
    <m/>
    <n v="0"/>
    <n v="7"/>
    <n v="0"/>
    <m/>
    <m/>
    <x v="0"/>
    <x v="1"/>
    <x v="1"/>
    <m/>
    <m/>
    <m/>
    <m/>
    <m/>
    <m/>
    <m/>
    <m/>
    <m/>
    <m/>
    <m/>
    <m/>
    <m/>
    <m/>
    <m/>
  </r>
  <r>
    <x v="334"/>
    <x v="6"/>
    <d v="2017-01-04T00:00:00"/>
    <n v="9342"/>
    <n v="3.1909999999999998"/>
    <n v="335"/>
    <n v="0.36"/>
    <n v="43.14"/>
    <n v="25412"/>
    <n v="472.03160000000003"/>
    <n v="36"/>
    <n v="9.1259999999999994"/>
    <n v="313492"/>
    <n v="6.19"/>
    <m/>
    <m/>
    <x v="0"/>
    <x v="1"/>
    <x v="0"/>
    <m/>
    <m/>
    <m/>
    <m/>
    <m/>
    <m/>
    <m/>
    <m/>
    <m/>
    <m/>
    <m/>
    <m/>
    <m/>
    <m/>
    <m/>
  </r>
  <r>
    <x v="335"/>
    <x v="6"/>
    <d v="2016-05-09T00:00:00"/>
    <n v="1908"/>
    <n v="3.1680000000000001"/>
    <n v="0"/>
    <n v="0.81699999999999995"/>
    <n v="30.47"/>
    <n v="4365"/>
    <n v="48.404000000000003"/>
    <n v="2"/>
    <n v="3.5649999999999999"/>
    <n v="169304"/>
    <n v="1.59"/>
    <m/>
    <m/>
    <x v="0"/>
    <x v="1"/>
    <x v="1"/>
    <m/>
    <m/>
    <m/>
    <m/>
    <m/>
    <m/>
    <m/>
    <m/>
    <m/>
    <m/>
    <m/>
    <m/>
    <m/>
    <m/>
    <m/>
  </r>
  <r>
    <x v="336"/>
    <x v="6"/>
    <d v="2016-04-27T00:00:00"/>
    <n v="4201"/>
    <n v="3.9009999999999998"/>
    <n v="0"/>
    <n v="0.91800000000000004"/>
    <n v="35.39"/>
    <n v="10707"/>
    <n v="145.23509999999999"/>
    <n v="1"/>
    <n v="9.8119999999999994"/>
    <n v="172087"/>
    <n v="3.65"/>
    <m/>
    <m/>
    <x v="0"/>
    <x v="1"/>
    <x v="1"/>
    <m/>
    <m/>
    <m/>
    <m/>
    <m/>
    <m/>
    <m/>
    <m/>
    <m/>
    <m/>
    <m/>
    <m/>
    <m/>
    <m/>
    <m/>
  </r>
  <r>
    <x v="337"/>
    <x v="6"/>
    <d v="2016-04-05T00:00:00"/>
    <n v="5105"/>
    <n v="4.1689999999999996"/>
    <n v="58"/>
    <n v="0.84799999999999998"/>
    <n v="22.94"/>
    <n v="14715"/>
    <n v="139.70480000000001"/>
    <n v="9"/>
    <n v="12.449"/>
    <n v="204788"/>
    <n v="6.09"/>
    <m/>
    <m/>
    <x v="0"/>
    <x v="1"/>
    <x v="1"/>
    <m/>
    <m/>
    <m/>
    <m/>
    <m/>
    <m/>
    <m/>
    <m/>
    <m/>
    <m/>
    <m/>
    <m/>
    <m/>
    <m/>
    <m/>
  </r>
  <r>
    <x v="338"/>
    <x v="6"/>
    <d v="2016-03-27T00:00:00"/>
    <n v="0"/>
    <m/>
    <n v="216"/>
    <n v="0"/>
    <n v="27.42"/>
    <n v="26766"/>
    <n v="210.00219999999999"/>
    <n v="37"/>
    <n v="0"/>
    <n v="171274"/>
    <n v="13.6"/>
    <m/>
    <m/>
    <x v="0"/>
    <x v="1"/>
    <x v="0"/>
    <m/>
    <m/>
    <m/>
    <m/>
    <m/>
    <m/>
    <m/>
    <m/>
    <m/>
    <m/>
    <m/>
    <m/>
    <m/>
    <m/>
    <m/>
  </r>
  <r>
    <x v="339"/>
    <x v="6"/>
    <d v="1970-01-01T00:00:00"/>
    <n v="1"/>
    <n v="5"/>
    <n v="0"/>
    <m/>
    <m/>
    <n v="0"/>
    <n v="0"/>
    <n v="0"/>
    <n v="3.0000000000000001E-3"/>
    <n v="2"/>
    <n v="0"/>
    <m/>
    <m/>
    <x v="0"/>
    <x v="1"/>
    <x v="1"/>
    <m/>
    <m/>
    <m/>
    <m/>
    <m/>
    <m/>
    <m/>
    <m/>
    <m/>
    <m/>
    <m/>
    <m/>
    <m/>
    <m/>
    <m/>
  </r>
  <r>
    <x v="340"/>
    <x v="6"/>
    <d v="1970-01-01T00:00:00"/>
    <n v="1"/>
    <n v="10"/>
    <n v="0"/>
    <m/>
    <m/>
    <n v="0"/>
    <n v="0"/>
    <n v="0"/>
    <n v="6.0000000000000001E-3"/>
    <n v="6"/>
    <n v="0"/>
    <m/>
    <m/>
    <x v="0"/>
    <x v="1"/>
    <x v="1"/>
    <m/>
    <m/>
    <m/>
    <m/>
    <m/>
    <m/>
    <m/>
    <m/>
    <m/>
    <m/>
    <m/>
    <m/>
    <m/>
    <m/>
    <m/>
  </r>
  <r>
    <x v="341"/>
    <x v="6"/>
    <d v="1970-01-01T00:00:00"/>
    <n v="0"/>
    <m/>
    <n v="0"/>
    <n v="0"/>
    <n v="0.51"/>
    <n v="1"/>
    <n v="2.9999999999999997E-4"/>
    <n v="0"/>
    <n v="0"/>
    <n v="7"/>
    <n v="14.29"/>
    <m/>
    <m/>
    <x v="0"/>
    <x v="1"/>
    <x v="1"/>
    <m/>
    <m/>
    <m/>
    <m/>
    <m/>
    <m/>
    <m/>
    <m/>
    <m/>
    <m/>
    <m/>
    <m/>
    <m/>
    <m/>
    <m/>
  </r>
  <r>
    <x v="342"/>
    <x v="6"/>
    <d v="1970-01-01T00:00:00"/>
    <n v="0"/>
    <m/>
    <n v="0"/>
    <n v="0"/>
    <n v="99.67"/>
    <n v="1"/>
    <n v="3.3799999999999997E-2"/>
    <n v="0"/>
    <n v="0"/>
    <n v="10"/>
    <n v="0"/>
    <m/>
    <m/>
    <x v="0"/>
    <x v="1"/>
    <x v="1"/>
    <m/>
    <m/>
    <m/>
    <m/>
    <m/>
    <m/>
    <m/>
    <m/>
    <m/>
    <m/>
    <m/>
    <m/>
    <m/>
    <m/>
    <m/>
  </r>
  <r>
    <x v="343"/>
    <x v="6"/>
    <d v="1970-01-01T00:00:00"/>
    <n v="0"/>
    <m/>
    <n v="0"/>
    <n v="0"/>
    <n v="7.18"/>
    <n v="1"/>
    <n v="2.3999999999999998E-3"/>
    <n v="0"/>
    <n v="0"/>
    <n v="6"/>
    <n v="16.670000000000002"/>
    <m/>
    <m/>
    <x v="0"/>
    <x v="1"/>
    <x v="1"/>
    <m/>
    <m/>
    <m/>
    <m/>
    <m/>
    <m/>
    <m/>
    <m/>
    <m/>
    <m/>
    <m/>
    <m/>
    <m/>
    <m/>
    <m/>
  </r>
  <r>
    <x v="344"/>
    <x v="6"/>
    <d v="1970-01-01T00:00:00"/>
    <n v="0"/>
    <m/>
    <n v="0"/>
    <n v="0"/>
    <n v="6.97"/>
    <n v="1"/>
    <n v="4.7000000000000002E-3"/>
    <n v="0"/>
    <n v="0"/>
    <n v="9"/>
    <n v="11.11"/>
    <m/>
    <m/>
    <x v="0"/>
    <x v="1"/>
    <x v="1"/>
    <m/>
    <m/>
    <m/>
    <m/>
    <m/>
    <m/>
    <m/>
    <m/>
    <m/>
    <m/>
    <m/>
    <m/>
    <m/>
    <m/>
    <m/>
  </r>
  <r>
    <x v="345"/>
    <x v="6"/>
    <d v="1970-01-01T00:00:00"/>
    <n v="0"/>
    <m/>
    <n v="0"/>
    <n v="0"/>
    <n v="1.7"/>
    <n v="1"/>
    <n v="4.8999999999999998E-3"/>
    <n v="0"/>
    <n v="0"/>
    <n v="16"/>
    <n v="0"/>
    <m/>
    <m/>
    <x v="0"/>
    <x v="1"/>
    <x v="1"/>
    <m/>
    <m/>
    <m/>
    <m/>
    <m/>
    <m/>
    <m/>
    <m/>
    <m/>
    <m/>
    <m/>
    <m/>
    <m/>
    <m/>
    <m/>
  </r>
  <r>
    <x v="346"/>
    <x v="6"/>
    <d v="1970-01-01T00:00:00"/>
    <n v="0"/>
    <m/>
    <n v="0"/>
    <n v="0"/>
    <n v="9.27"/>
    <n v="2"/>
    <n v="7.7000000000000002E-3"/>
    <n v="0"/>
    <n v="0"/>
    <n v="2"/>
    <n v="50"/>
    <m/>
    <m/>
    <x v="0"/>
    <x v="1"/>
    <x v="1"/>
    <m/>
    <m/>
    <m/>
    <m/>
    <m/>
    <m/>
    <m/>
    <m/>
    <m/>
    <m/>
    <m/>
    <m/>
    <m/>
    <m/>
    <m/>
  </r>
  <r>
    <x v="347"/>
    <x v="6"/>
    <d v="1970-01-01T00:00:00"/>
    <n v="0"/>
    <m/>
    <n v="0"/>
    <n v="0"/>
    <n v="55.83"/>
    <n v="2"/>
    <n v="0.28010000000000002"/>
    <n v="0"/>
    <n v="0"/>
    <n v="6"/>
    <n v="0"/>
    <m/>
    <m/>
    <x v="0"/>
    <x v="1"/>
    <x v="1"/>
    <m/>
    <m/>
    <m/>
    <m/>
    <m/>
    <m/>
    <m/>
    <m/>
    <m/>
    <m/>
    <m/>
    <m/>
    <m/>
    <m/>
    <m/>
  </r>
  <r>
    <x v="348"/>
    <x v="6"/>
    <d v="1970-01-01T00:00:00"/>
    <n v="0"/>
    <m/>
    <n v="0"/>
    <n v="0"/>
    <n v="22.03"/>
    <n v="2"/>
    <n v="5.0599999999999999E-2"/>
    <n v="0"/>
    <n v="0"/>
    <n v="20"/>
    <n v="0"/>
    <m/>
    <m/>
    <x v="0"/>
    <x v="1"/>
    <x v="1"/>
    <m/>
    <m/>
    <m/>
    <m/>
    <m/>
    <m/>
    <m/>
    <m/>
    <m/>
    <m/>
    <m/>
    <m/>
    <m/>
    <m/>
    <m/>
  </r>
  <r>
    <x v="349"/>
    <x v="6"/>
    <d v="1970-01-01T00:00:00"/>
    <n v="0"/>
    <m/>
    <n v="0"/>
    <n v="0"/>
    <n v="92.89"/>
    <n v="2"/>
    <n v="0.3236"/>
    <n v="0"/>
    <n v="0"/>
    <n v="9"/>
    <n v="0"/>
    <m/>
    <m/>
    <x v="0"/>
    <x v="1"/>
    <x v="1"/>
    <m/>
    <m/>
    <m/>
    <m/>
    <m/>
    <m/>
    <m/>
    <m/>
    <m/>
    <m/>
    <m/>
    <m/>
    <m/>
    <m/>
    <m/>
  </r>
  <r>
    <x v="350"/>
    <x v="6"/>
    <d v="1970-01-01T00:00:00"/>
    <n v="0"/>
    <m/>
    <n v="0"/>
    <n v="0"/>
    <n v="3.55"/>
    <n v="2"/>
    <n v="2.1100000000000001E-2"/>
    <n v="0"/>
    <n v="0"/>
    <n v="15"/>
    <n v="0"/>
    <m/>
    <m/>
    <x v="0"/>
    <x v="1"/>
    <x v="1"/>
    <m/>
    <m/>
    <m/>
    <m/>
    <m/>
    <m/>
    <m/>
    <m/>
    <m/>
    <m/>
    <m/>
    <m/>
    <m/>
    <m/>
    <m/>
  </r>
  <r>
    <x v="351"/>
    <x v="6"/>
    <d v="1970-01-01T00:00:00"/>
    <n v="0"/>
    <m/>
    <n v="0"/>
    <n v="0"/>
    <n v="108.75"/>
    <n v="2"/>
    <n v="3.6900000000000002E-2"/>
    <n v="0"/>
    <n v="0"/>
    <n v="9"/>
    <n v="11.11"/>
    <m/>
    <m/>
    <x v="0"/>
    <x v="1"/>
    <x v="1"/>
    <m/>
    <m/>
    <m/>
    <m/>
    <m/>
    <m/>
    <m/>
    <m/>
    <m/>
    <m/>
    <m/>
    <m/>
    <m/>
    <m/>
    <m/>
  </r>
  <r>
    <x v="352"/>
    <x v="6"/>
    <d v="1970-01-01T00:00:00"/>
    <n v="0"/>
    <m/>
    <n v="0"/>
    <n v="0"/>
    <n v="32.33"/>
    <n v="3"/>
    <n v="0.17749999999999999"/>
    <n v="0"/>
    <n v="0"/>
    <n v="2"/>
    <n v="100"/>
    <m/>
    <m/>
    <x v="0"/>
    <x v="1"/>
    <x v="1"/>
    <m/>
    <m/>
    <m/>
    <m/>
    <m/>
    <m/>
    <m/>
    <m/>
    <m/>
    <m/>
    <m/>
    <m/>
    <m/>
    <m/>
    <m/>
  </r>
  <r>
    <x v="353"/>
    <x v="6"/>
    <d v="1970-01-01T00:00:00"/>
    <n v="0"/>
    <m/>
    <n v="0"/>
    <n v="0"/>
    <n v="100.33"/>
    <n v="3"/>
    <n v="0.13550000000000001"/>
    <n v="0"/>
    <n v="0"/>
    <n v="8"/>
    <n v="0"/>
    <m/>
    <m/>
    <x v="0"/>
    <x v="1"/>
    <x v="1"/>
    <m/>
    <m/>
    <m/>
    <m/>
    <m/>
    <m/>
    <m/>
    <m/>
    <m/>
    <m/>
    <m/>
    <m/>
    <m/>
    <m/>
    <m/>
  </r>
  <r>
    <x v="354"/>
    <x v="6"/>
    <d v="1970-01-01T00:00:00"/>
    <n v="0"/>
    <m/>
    <n v="0"/>
    <n v="0"/>
    <n v="8.6999999999999993"/>
    <n v="3"/>
    <n v="8.6599999999999996E-2"/>
    <n v="0"/>
    <n v="0"/>
    <n v="6"/>
    <n v="0"/>
    <m/>
    <m/>
    <x v="0"/>
    <x v="1"/>
    <x v="1"/>
    <m/>
    <m/>
    <m/>
    <m/>
    <m/>
    <m/>
    <m/>
    <m/>
    <m/>
    <m/>
    <m/>
    <m/>
    <m/>
    <m/>
    <m/>
  </r>
  <r>
    <x v="355"/>
    <x v="6"/>
    <d v="1970-01-01T00:00:00"/>
    <n v="0"/>
    <m/>
    <n v="0"/>
    <n v="0"/>
    <n v="33.68"/>
    <n v="3"/>
    <n v="8.6499999999999994E-2"/>
    <n v="0"/>
    <n v="0"/>
    <n v="1"/>
    <n v="100"/>
    <m/>
    <m/>
    <x v="0"/>
    <x v="1"/>
    <x v="1"/>
    <m/>
    <m/>
    <m/>
    <m/>
    <m/>
    <m/>
    <m/>
    <m/>
    <m/>
    <m/>
    <m/>
    <m/>
    <m/>
    <m/>
    <m/>
  </r>
  <r>
    <x v="356"/>
    <x v="6"/>
    <d v="1970-01-01T00:00:00"/>
    <n v="0"/>
    <m/>
    <n v="0"/>
    <n v="0"/>
    <n v="5.66"/>
    <n v="3"/>
    <n v="4.7899999999999998E-2"/>
    <n v="0"/>
    <n v="0"/>
    <n v="14"/>
    <n v="0"/>
    <m/>
    <m/>
    <x v="0"/>
    <x v="1"/>
    <x v="1"/>
    <m/>
    <m/>
    <m/>
    <m/>
    <m/>
    <m/>
    <m/>
    <m/>
    <m/>
    <m/>
    <m/>
    <m/>
    <m/>
    <m/>
    <m/>
  </r>
  <r>
    <x v="357"/>
    <x v="6"/>
    <d v="1970-01-01T00:00:00"/>
    <n v="0"/>
    <m/>
    <n v="0"/>
    <n v="0"/>
    <n v="16.96"/>
    <n v="4"/>
    <n v="0.13869999999999999"/>
    <n v="0"/>
    <n v="0"/>
    <n v="17"/>
    <n v="0"/>
    <m/>
    <m/>
    <x v="0"/>
    <x v="1"/>
    <x v="1"/>
    <m/>
    <m/>
    <m/>
    <m/>
    <m/>
    <m/>
    <m/>
    <m/>
    <m/>
    <m/>
    <m/>
    <m/>
    <m/>
    <m/>
    <m/>
  </r>
  <r>
    <x v="358"/>
    <x v="6"/>
    <d v="1970-01-01T00:00:00"/>
    <n v="0"/>
    <m/>
    <n v="0"/>
    <n v="0"/>
    <n v="2.96"/>
    <n v="4"/>
    <n v="3.0200000000000001E-2"/>
    <n v="0"/>
    <n v="0"/>
    <n v="0"/>
    <m/>
    <m/>
    <m/>
    <x v="0"/>
    <x v="1"/>
    <x v="1"/>
    <m/>
    <m/>
    <m/>
    <m/>
    <m/>
    <m/>
    <m/>
    <m/>
    <m/>
    <m/>
    <m/>
    <m/>
    <m/>
    <m/>
    <m/>
  </r>
  <r>
    <x v="359"/>
    <x v="6"/>
    <d v="1970-01-01T00:00:00"/>
    <n v="0"/>
    <m/>
    <n v="0"/>
    <n v="0"/>
    <n v="63.53"/>
    <n v="5"/>
    <n v="6.4399999999999999E-2"/>
    <n v="0"/>
    <n v="0"/>
    <n v="13"/>
    <n v="0"/>
    <m/>
    <m/>
    <x v="0"/>
    <x v="1"/>
    <x v="1"/>
    <m/>
    <m/>
    <m/>
    <m/>
    <m/>
    <m/>
    <m/>
    <m/>
    <m/>
    <m/>
    <m/>
    <m/>
    <m/>
    <m/>
    <m/>
  </r>
  <r>
    <x v="360"/>
    <x v="6"/>
    <d v="1970-01-01T00:00:00"/>
    <n v="0"/>
    <m/>
    <n v="0"/>
    <n v="0"/>
    <n v="14.96"/>
    <n v="6"/>
    <n v="0.2278"/>
    <n v="0"/>
    <n v="0"/>
    <n v="20"/>
    <n v="5"/>
    <m/>
    <m/>
    <x v="0"/>
    <x v="1"/>
    <x v="1"/>
    <m/>
    <m/>
    <m/>
    <m/>
    <m/>
    <m/>
    <m/>
    <m/>
    <m/>
    <m/>
    <m/>
    <m/>
    <m/>
    <m/>
    <m/>
  </r>
  <r>
    <x v="361"/>
    <x v="6"/>
    <d v="1970-01-01T00:00:00"/>
    <n v="0"/>
    <m/>
    <n v="0"/>
    <n v="0"/>
    <n v="7.07"/>
    <n v="6"/>
    <n v="0.11119999999999999"/>
    <n v="0"/>
    <n v="0"/>
    <n v="17"/>
    <n v="5.88"/>
    <m/>
    <m/>
    <x v="0"/>
    <x v="1"/>
    <x v="1"/>
    <m/>
    <m/>
    <m/>
    <m/>
    <m/>
    <m/>
    <m/>
    <m/>
    <m/>
    <m/>
    <m/>
    <m/>
    <m/>
    <m/>
    <m/>
  </r>
  <r>
    <x v="362"/>
    <x v="6"/>
    <d v="1970-01-01T00:00:00"/>
    <n v="1"/>
    <n v="8"/>
    <n v="0"/>
    <n v="0.71399999999999997"/>
    <n v="67.98"/>
    <n v="7"/>
    <n v="1.0996999999999999"/>
    <n v="0"/>
    <n v="5.0000000000000001E-3"/>
    <n v="7"/>
    <n v="0"/>
    <m/>
    <m/>
    <x v="0"/>
    <x v="1"/>
    <x v="1"/>
    <m/>
    <m/>
    <m/>
    <m/>
    <m/>
    <m/>
    <m/>
    <m/>
    <m/>
    <m/>
    <m/>
    <m/>
    <m/>
    <m/>
    <m/>
  </r>
  <r>
    <x v="363"/>
    <x v="6"/>
    <d v="1970-01-01T00:00:00"/>
    <n v="0"/>
    <m/>
    <n v="0"/>
    <n v="0"/>
    <n v="5.43"/>
    <n v="7"/>
    <n v="0.1103"/>
    <n v="0"/>
    <n v="0"/>
    <n v="15"/>
    <n v="0"/>
    <m/>
    <m/>
    <x v="0"/>
    <x v="1"/>
    <x v="1"/>
    <m/>
    <m/>
    <m/>
    <m/>
    <m/>
    <m/>
    <m/>
    <m/>
    <m/>
    <m/>
    <m/>
    <m/>
    <m/>
    <m/>
    <m/>
  </r>
  <r>
    <x v="364"/>
    <x v="6"/>
    <d v="1970-01-01T00:00:00"/>
    <n v="1"/>
    <n v="14"/>
    <n v="0"/>
    <n v="1"/>
    <n v="46.48"/>
    <n v="8"/>
    <n v="0.61970000000000003"/>
    <n v="0"/>
    <n v="8.0000000000000002E-3"/>
    <n v="7"/>
    <n v="0"/>
    <m/>
    <m/>
    <x v="0"/>
    <x v="1"/>
    <x v="1"/>
    <m/>
    <m/>
    <m/>
    <m/>
    <m/>
    <m/>
    <m/>
    <m/>
    <m/>
    <m/>
    <m/>
    <m/>
    <m/>
    <m/>
    <m/>
  </r>
  <r>
    <x v="365"/>
    <x v="6"/>
    <d v="1970-01-01T00:00:00"/>
    <n v="2"/>
    <n v="16"/>
    <n v="0"/>
    <n v="2.25"/>
    <n v="31.64"/>
    <n v="8"/>
    <n v="0.68620000000000003"/>
    <n v="0"/>
    <n v="1.7999999999999999E-2"/>
    <n v="1"/>
    <n v="0"/>
    <m/>
    <m/>
    <x v="0"/>
    <x v="1"/>
    <x v="1"/>
    <m/>
    <m/>
    <m/>
    <m/>
    <m/>
    <m/>
    <m/>
    <m/>
    <m/>
    <m/>
    <m/>
    <m/>
    <m/>
    <m/>
    <m/>
  </r>
  <r>
    <x v="366"/>
    <x v="6"/>
    <d v="1970-01-01T00:00:00"/>
    <n v="0"/>
    <m/>
    <n v="0"/>
    <n v="0"/>
    <n v="50.41"/>
    <n v="9"/>
    <n v="0.1827"/>
    <n v="1"/>
    <n v="0"/>
    <n v="27"/>
    <n v="0"/>
    <m/>
    <m/>
    <x v="0"/>
    <x v="1"/>
    <x v="1"/>
    <m/>
    <m/>
    <m/>
    <m/>
    <m/>
    <m/>
    <m/>
    <m/>
    <m/>
    <m/>
    <m/>
    <m/>
    <m/>
    <m/>
    <m/>
  </r>
  <r>
    <x v="367"/>
    <x v="6"/>
    <d v="1970-01-01T00:00:00"/>
    <n v="0"/>
    <m/>
    <n v="0"/>
    <n v="0"/>
    <n v="63.08"/>
    <n v="11"/>
    <n v="0.9617"/>
    <n v="0"/>
    <n v="0"/>
    <n v="10"/>
    <n v="0"/>
    <m/>
    <m/>
    <x v="0"/>
    <x v="1"/>
    <x v="1"/>
    <m/>
    <m/>
    <m/>
    <m/>
    <m/>
    <m/>
    <m/>
    <m/>
    <m/>
    <m/>
    <m/>
    <m/>
    <m/>
    <m/>
    <m/>
  </r>
  <r>
    <x v="368"/>
    <x v="6"/>
    <d v="1970-01-01T00:00:00"/>
    <n v="0"/>
    <m/>
    <n v="0"/>
    <n v="0"/>
    <n v="24.81"/>
    <n v="12"/>
    <n v="0.4209"/>
    <n v="0"/>
    <n v="0"/>
    <n v="4"/>
    <n v="25"/>
    <m/>
    <m/>
    <x v="0"/>
    <x v="1"/>
    <x v="1"/>
    <m/>
    <m/>
    <m/>
    <m/>
    <m/>
    <m/>
    <m/>
    <m/>
    <m/>
    <m/>
    <m/>
    <m/>
    <m/>
    <m/>
    <m/>
  </r>
  <r>
    <x v="369"/>
    <x v="6"/>
    <d v="1970-01-01T00:00:00"/>
    <n v="0"/>
    <m/>
    <n v="0"/>
    <n v="0"/>
    <n v="100.01"/>
    <n v="13"/>
    <n v="0.80530000000000002"/>
    <n v="0"/>
    <n v="0"/>
    <n v="10"/>
    <n v="20"/>
    <m/>
    <m/>
    <x v="0"/>
    <x v="1"/>
    <x v="1"/>
    <m/>
    <m/>
    <m/>
    <m/>
    <m/>
    <m/>
    <m/>
    <m/>
    <m/>
    <m/>
    <m/>
    <m/>
    <m/>
    <m/>
    <m/>
  </r>
  <r>
    <x v="370"/>
    <x v="6"/>
    <d v="1970-01-01T00:00:00"/>
    <n v="0"/>
    <m/>
    <n v="0"/>
    <n v="0"/>
    <n v="40.49"/>
    <n v="14"/>
    <n v="0.65980000000000005"/>
    <n v="0"/>
    <n v="0"/>
    <n v="18"/>
    <n v="0"/>
    <m/>
    <m/>
    <x v="0"/>
    <x v="1"/>
    <x v="1"/>
    <m/>
    <m/>
    <m/>
    <m/>
    <m/>
    <m/>
    <m/>
    <m/>
    <m/>
    <m/>
    <m/>
    <m/>
    <m/>
    <m/>
    <m/>
  </r>
  <r>
    <x v="371"/>
    <x v="6"/>
    <d v="1970-01-01T00:00:00"/>
    <n v="0"/>
    <m/>
    <n v="0"/>
    <n v="0"/>
    <n v="1.91"/>
    <n v="15"/>
    <n v="0.62580000000000002"/>
    <n v="0"/>
    <n v="0"/>
    <n v="17"/>
    <n v="5.88"/>
    <m/>
    <m/>
    <x v="0"/>
    <x v="1"/>
    <x v="1"/>
    <m/>
    <m/>
    <m/>
    <m/>
    <m/>
    <m/>
    <m/>
    <m/>
    <m/>
    <m/>
    <m/>
    <m/>
    <m/>
    <m/>
    <m/>
  </r>
  <r>
    <x v="372"/>
    <x v="6"/>
    <d v="1970-01-01T00:00:00"/>
    <n v="10"/>
    <n v="16.181999999999999"/>
    <n v="0"/>
    <n v="5.444"/>
    <n v="30.25"/>
    <n v="18"/>
    <n v="1.2962"/>
    <n v="0"/>
    <n v="9.8000000000000004E-2"/>
    <n v="6"/>
    <n v="0"/>
    <m/>
    <m/>
    <x v="0"/>
    <x v="1"/>
    <x v="1"/>
    <m/>
    <m/>
    <m/>
    <m/>
    <m/>
    <m/>
    <m/>
    <m/>
    <m/>
    <m/>
    <m/>
    <m/>
    <m/>
    <m/>
    <m/>
  </r>
  <r>
    <x v="373"/>
    <x v="6"/>
    <d v="1970-01-01T00:00:00"/>
    <n v="0"/>
    <m/>
    <n v="0"/>
    <n v="0"/>
    <n v="51.22"/>
    <n v="19"/>
    <n v="1.8489"/>
    <n v="0"/>
    <n v="0"/>
    <n v="16"/>
    <n v="0"/>
    <m/>
    <m/>
    <x v="0"/>
    <x v="1"/>
    <x v="1"/>
    <m/>
    <m/>
    <m/>
    <m/>
    <m/>
    <m/>
    <m/>
    <m/>
    <m/>
    <m/>
    <m/>
    <m/>
    <m/>
    <m/>
    <m/>
  </r>
  <r>
    <x v="374"/>
    <x v="6"/>
    <d v="1970-01-01T00:00:00"/>
    <n v="0"/>
    <m/>
    <n v="0"/>
    <n v="0"/>
    <n v="85.21"/>
    <n v="20"/>
    <n v="0.91959999999999997"/>
    <n v="0"/>
    <n v="0"/>
    <n v="0"/>
    <m/>
    <m/>
    <m/>
    <x v="0"/>
    <x v="1"/>
    <x v="1"/>
    <m/>
    <m/>
    <m/>
    <m/>
    <m/>
    <m/>
    <m/>
    <m/>
    <m/>
    <m/>
    <m/>
    <m/>
    <m/>
    <m/>
    <m/>
  </r>
  <r>
    <x v="375"/>
    <x v="6"/>
    <d v="1970-01-01T00:00:00"/>
    <n v="0"/>
    <m/>
    <n v="0"/>
    <n v="0"/>
    <n v="12.39"/>
    <n v="20"/>
    <n v="1.3555999999999999"/>
    <n v="0"/>
    <n v="0"/>
    <n v="13"/>
    <n v="0"/>
    <m/>
    <m/>
    <x v="0"/>
    <x v="1"/>
    <x v="1"/>
    <m/>
    <m/>
    <m/>
    <m/>
    <m/>
    <m/>
    <m/>
    <m/>
    <m/>
    <m/>
    <m/>
    <m/>
    <m/>
    <m/>
    <m/>
  </r>
  <r>
    <x v="376"/>
    <x v="6"/>
    <d v="1970-01-01T00:00:00"/>
    <n v="0"/>
    <m/>
    <n v="0"/>
    <n v="0"/>
    <n v="56.91"/>
    <n v="24"/>
    <n v="0.76639999999999997"/>
    <n v="0"/>
    <n v="0"/>
    <n v="7"/>
    <n v="0"/>
    <m/>
    <m/>
    <x v="0"/>
    <x v="1"/>
    <x v="1"/>
    <m/>
    <m/>
    <m/>
    <m/>
    <m/>
    <m/>
    <m/>
    <m/>
    <m/>
    <m/>
    <m/>
    <m/>
    <m/>
    <m/>
    <m/>
  </r>
  <r>
    <x v="377"/>
    <x v="6"/>
    <d v="1970-01-01T00:00:00"/>
    <n v="0"/>
    <m/>
    <n v="0"/>
    <n v="0"/>
    <n v="26.09"/>
    <n v="24"/>
    <n v="0.54779999999999995"/>
    <n v="1"/>
    <n v="0"/>
    <n v="15"/>
    <n v="6.67"/>
    <m/>
    <m/>
    <x v="0"/>
    <x v="1"/>
    <x v="1"/>
    <m/>
    <m/>
    <m/>
    <m/>
    <m/>
    <m/>
    <m/>
    <m/>
    <m/>
    <m/>
    <m/>
    <m/>
    <m/>
    <m/>
    <m/>
  </r>
  <r>
    <x v="378"/>
    <x v="6"/>
    <d v="1970-01-01T00:00:00"/>
    <n v="0"/>
    <m/>
    <n v="0"/>
    <n v="0"/>
    <n v="15.68"/>
    <n v="28"/>
    <n v="7.4923999999999999"/>
    <n v="0"/>
    <n v="0"/>
    <n v="8"/>
    <n v="0"/>
    <m/>
    <m/>
    <x v="0"/>
    <x v="1"/>
    <x v="1"/>
    <m/>
    <m/>
    <m/>
    <m/>
    <m/>
    <m/>
    <m/>
    <m/>
    <m/>
    <m/>
    <m/>
    <m/>
    <m/>
    <m/>
    <m/>
  </r>
  <r>
    <x v="379"/>
    <x v="6"/>
    <d v="1970-01-01T00:00:00"/>
    <n v="0"/>
    <m/>
    <n v="0"/>
    <n v="0"/>
    <n v="59.34"/>
    <n v="30"/>
    <n v="1.6662999999999999"/>
    <n v="0"/>
    <n v="0"/>
    <n v="17"/>
    <n v="23.53"/>
    <m/>
    <m/>
    <x v="0"/>
    <x v="1"/>
    <x v="1"/>
    <m/>
    <m/>
    <m/>
    <m/>
    <m/>
    <m/>
    <m/>
    <m/>
    <m/>
    <m/>
    <m/>
    <m/>
    <m/>
    <m/>
    <m/>
  </r>
  <r>
    <x v="380"/>
    <x v="6"/>
    <d v="1970-01-01T00:00:00"/>
    <n v="0"/>
    <m/>
    <n v="0"/>
    <n v="0"/>
    <n v="8.32"/>
    <n v="35"/>
    <n v="4.4379999999999997"/>
    <n v="0"/>
    <n v="0"/>
    <n v="5"/>
    <n v="0"/>
    <m/>
    <m/>
    <x v="0"/>
    <x v="1"/>
    <x v="1"/>
    <m/>
    <m/>
    <m/>
    <m/>
    <m/>
    <m/>
    <m/>
    <m/>
    <m/>
    <m/>
    <m/>
    <m/>
    <m/>
    <m/>
    <m/>
  </r>
  <r>
    <x v="381"/>
    <x v="6"/>
    <d v="1970-01-01T00:00:00"/>
    <n v="0"/>
    <m/>
    <n v="0"/>
    <n v="0"/>
    <n v="66.760000000000005"/>
    <n v="38"/>
    <n v="0.90200000000000002"/>
    <n v="0"/>
    <n v="0"/>
    <n v="0"/>
    <m/>
    <m/>
    <m/>
    <x v="0"/>
    <x v="1"/>
    <x v="1"/>
    <m/>
    <m/>
    <m/>
    <m/>
    <m/>
    <m/>
    <m/>
    <m/>
    <m/>
    <m/>
    <m/>
    <m/>
    <m/>
    <m/>
    <m/>
  </r>
  <r>
    <x v="382"/>
    <x v="6"/>
    <d v="1970-01-01T00:00:00"/>
    <n v="0"/>
    <m/>
    <n v="0"/>
    <n v="0"/>
    <n v="13.35"/>
    <n v="46"/>
    <n v="9.4962"/>
    <n v="0"/>
    <n v="0"/>
    <n v="7"/>
    <n v="0"/>
    <m/>
    <m/>
    <x v="0"/>
    <x v="1"/>
    <x v="1"/>
    <m/>
    <m/>
    <m/>
    <m/>
    <m/>
    <m/>
    <m/>
    <m/>
    <m/>
    <m/>
    <m/>
    <m/>
    <m/>
    <m/>
    <m/>
  </r>
  <r>
    <x v="383"/>
    <x v="6"/>
    <d v="1970-01-01T00:00:00"/>
    <n v="0"/>
    <m/>
    <n v="0"/>
    <n v="0"/>
    <n v="77.099999999999994"/>
    <n v="129"/>
    <n v="5.0006000000000004"/>
    <n v="1"/>
    <n v="0"/>
    <n v="0"/>
    <m/>
    <m/>
    <m/>
    <x v="0"/>
    <x v="1"/>
    <x v="1"/>
    <m/>
    <m/>
    <m/>
    <m/>
    <m/>
    <m/>
    <m/>
    <m/>
    <m/>
    <m/>
    <m/>
    <m/>
    <m/>
    <m/>
    <m/>
  </r>
  <r>
    <x v="384"/>
    <x v="6"/>
    <d v="1970-01-01T00:00:00"/>
    <n v="0"/>
    <m/>
    <n v="0"/>
    <n v="0"/>
    <n v="73.739999999999995"/>
    <n v="379"/>
    <n v="9.3162000000000003"/>
    <n v="2"/>
    <n v="0"/>
    <n v="7"/>
    <n v="14.29"/>
    <m/>
    <m/>
    <x v="0"/>
    <x v="1"/>
    <x v="1"/>
    <m/>
    <m/>
    <m/>
    <m/>
    <m/>
    <m/>
    <m/>
    <m/>
    <m/>
    <m/>
    <m/>
    <m/>
    <m/>
    <m/>
    <m/>
  </r>
  <r>
    <x v="385"/>
    <x v="6"/>
    <d v="1970-01-01T00:00:00"/>
    <n v="0"/>
    <m/>
    <n v="0"/>
    <n v="0"/>
    <n v="7.26"/>
    <n v="11802"/>
    <n v="903.70740000000001"/>
    <n v="-31"/>
    <n v="0"/>
    <n v="172741"/>
    <n v="2.87"/>
    <m/>
    <m/>
    <x v="0"/>
    <x v="1"/>
    <x v="1"/>
    <m/>
    <m/>
    <m/>
    <m/>
    <m/>
    <m/>
    <m/>
    <m/>
    <m/>
    <m/>
    <m/>
    <m/>
    <m/>
    <m/>
    <m/>
  </r>
  <r>
    <x v="386"/>
    <x v="6"/>
    <d v="1970-01-01T00:00:00"/>
    <n v="0"/>
    <m/>
    <n v="0"/>
    <n v="0.193"/>
    <n v="4.8"/>
    <n v="13810"/>
    <n v="866.03179999999998"/>
    <n v="1"/>
    <n v="2.67"/>
    <n v="169733"/>
    <n v="4.8899999999999997"/>
    <m/>
    <m/>
    <x v="0"/>
    <x v="1"/>
    <x v="1"/>
    <m/>
    <m/>
    <m/>
    <m/>
    <m/>
    <m/>
    <m/>
    <m/>
    <m/>
    <m/>
    <m/>
    <m/>
    <m/>
    <m/>
    <m/>
  </r>
  <r>
    <x v="387"/>
    <x v="6"/>
    <d v="1970-01-01T00:00:00"/>
    <n v="8490"/>
    <n v="2.8919999999999999"/>
    <n v="0"/>
    <n v="2.4020000000000001"/>
    <n v="8.34"/>
    <n v="16438"/>
    <n v="1407.7802999999999"/>
    <n v="-24"/>
    <n v="39.491999999999997"/>
    <n v="126176"/>
    <n v="6.97"/>
    <m/>
    <m/>
    <x v="0"/>
    <x v="1"/>
    <x v="0"/>
    <m/>
    <m/>
    <m/>
    <m/>
    <m/>
    <m/>
    <m/>
    <m/>
    <m/>
    <m/>
    <m/>
    <m/>
    <m/>
    <m/>
    <m/>
  </r>
  <r>
    <x v="386"/>
    <x v="6"/>
    <d v="1970-01-01T00:00:00"/>
    <n v="0"/>
    <m/>
    <n v="0"/>
    <n v="0"/>
    <n v="3.71"/>
    <n v="16730"/>
    <n v="1307.7263"/>
    <n v="-26"/>
    <n v="0"/>
    <n v="202767"/>
    <n v="4.43"/>
    <m/>
    <m/>
    <x v="0"/>
    <x v="1"/>
    <x v="0"/>
    <m/>
    <m/>
    <m/>
    <m/>
    <m/>
    <m/>
    <m/>
    <m/>
    <m/>
    <m/>
    <m/>
    <m/>
    <m/>
    <m/>
    <m/>
  </r>
  <r>
    <x v="388"/>
    <x v="6"/>
    <d v="1970-01-01T00:00:00"/>
    <n v="9551"/>
    <n v="3.5289999999999999"/>
    <n v="0"/>
    <n v="1.9510000000000001"/>
    <n v="5.96"/>
    <n v="17751"/>
    <n v="1180.1855"/>
    <n v="-5"/>
    <n v="34.625999999999998"/>
    <n v="93293"/>
    <n v="9.61"/>
    <m/>
    <m/>
    <x v="0"/>
    <x v="1"/>
    <x v="0"/>
    <m/>
    <m/>
    <m/>
    <m/>
    <m/>
    <m/>
    <m/>
    <m/>
    <m/>
    <m/>
    <m/>
    <m/>
    <m/>
    <m/>
    <m/>
  </r>
  <r>
    <x v="389"/>
    <x v="6"/>
    <d v="1970-01-01T00:00:00"/>
    <n v="0"/>
    <m/>
    <n v="0"/>
    <n v="0"/>
    <n v="4.67"/>
    <n v="18543"/>
    <n v="871.59069999999997"/>
    <n v="-8"/>
    <n v="0"/>
    <n v="116556"/>
    <n v="10.24"/>
    <m/>
    <m/>
    <x v="0"/>
    <x v="1"/>
    <x v="0"/>
    <m/>
    <m/>
    <m/>
    <m/>
    <m/>
    <m/>
    <m/>
    <m/>
    <m/>
    <m/>
    <m/>
    <m/>
    <m/>
    <m/>
    <m/>
  </r>
  <r>
    <x v="390"/>
    <x v="6"/>
    <d v="1970-01-01T00:00:00"/>
    <n v="0"/>
    <m/>
    <n v="0"/>
    <n v="0"/>
    <n v="78.959999999999994"/>
    <n v="20574"/>
    <n v="324.90899999999999"/>
    <n v="1"/>
    <n v="0"/>
    <n v="13"/>
    <n v="7.69"/>
    <m/>
    <m/>
    <x v="0"/>
    <x v="1"/>
    <x v="0"/>
    <m/>
    <m/>
    <m/>
    <m/>
    <m/>
    <m/>
    <m/>
    <m/>
    <m/>
    <m/>
    <m/>
    <m/>
    <m/>
    <m/>
    <m/>
  </r>
  <r>
    <x v="387"/>
    <x v="6"/>
    <d v="1970-01-01T00:00:00"/>
    <n v="12527"/>
    <n v="2.8330000000000002"/>
    <n v="0"/>
    <n v="4.3289999999999997"/>
    <n v="8.51"/>
    <n v="24433"/>
    <n v="2614.9652000000001"/>
    <n v="16"/>
    <n v="105.761"/>
    <n v="223614"/>
    <n v="6.57"/>
    <m/>
    <m/>
    <x v="0"/>
    <x v="1"/>
    <x v="0"/>
    <m/>
    <m/>
    <m/>
    <m/>
    <m/>
    <m/>
    <m/>
    <m/>
    <m/>
    <m/>
    <m/>
    <m/>
    <m/>
    <m/>
    <m/>
  </r>
  <r>
    <x v="391"/>
    <x v="6"/>
    <d v="1970-01-01T00:00:00"/>
    <n v="9474"/>
    <n v="2.452"/>
    <n v="0"/>
    <n v="4.3630000000000004"/>
    <n v="4.47"/>
    <n v="28949"/>
    <n v="2890.3020999999999"/>
    <n v="120"/>
    <n v="126.295"/>
    <n v="422802"/>
    <n v="5.09"/>
    <m/>
    <m/>
    <x v="0"/>
    <x v="1"/>
    <x v="0"/>
    <m/>
    <m/>
    <m/>
    <m/>
    <m/>
    <m/>
    <m/>
    <m/>
    <m/>
    <m/>
    <m/>
    <m/>
    <m/>
    <m/>
    <m/>
  </r>
  <r>
    <x v="389"/>
    <x v="6"/>
    <d v="1970-01-01T00:00:00"/>
    <n v="0"/>
    <m/>
    <n v="0"/>
    <n v="5.5E-2"/>
    <n v="1.72"/>
    <n v="31989"/>
    <n v="1670.4879000000001"/>
    <n v="1"/>
    <n v="1.76"/>
    <n v="315828"/>
    <n v="7.76"/>
    <m/>
    <m/>
    <x v="0"/>
    <x v="1"/>
    <x v="0"/>
    <m/>
    <m/>
    <m/>
    <m/>
    <m/>
    <m/>
    <m/>
    <m/>
    <m/>
    <m/>
    <m/>
    <m/>
    <m/>
    <m/>
    <m/>
  </r>
  <r>
    <x v="391"/>
    <x v="6"/>
    <d v="1970-01-01T00:00:00"/>
    <n v="11906"/>
    <n v="2.9550000000000001"/>
    <n v="0"/>
    <n v="1.2310000000000001"/>
    <n v="1.39"/>
    <n v="49257"/>
    <n v="4080.7662"/>
    <n v="60"/>
    <n v="60.618000000000002"/>
    <n v="573644"/>
    <n v="6.8"/>
    <m/>
    <m/>
    <x v="0"/>
    <x v="1"/>
    <x v="0"/>
    <m/>
    <m/>
    <m/>
    <m/>
    <m/>
    <m/>
    <m/>
    <m/>
    <m/>
    <m/>
    <m/>
    <m/>
    <m/>
    <m/>
    <m/>
  </r>
  <r>
    <x v="392"/>
    <x v="6"/>
    <d v="1970-01-01T00:00:00"/>
    <n v="0"/>
    <m/>
    <n v="0"/>
    <n v="0"/>
    <n v="86.69"/>
    <n v="97319"/>
    <n v="1429.4931999999999"/>
    <n v="0"/>
    <n v="0"/>
    <n v="7"/>
    <n v="0"/>
    <m/>
    <m/>
    <x v="0"/>
    <x v="1"/>
    <x v="0"/>
    <m/>
    <m/>
    <m/>
    <m/>
    <m/>
    <m/>
    <m/>
    <m/>
    <m/>
    <m/>
    <m/>
    <m/>
    <m/>
    <m/>
    <m/>
  </r>
  <r>
    <x v="393"/>
    <x v="6"/>
    <d v="1970-01-01T00:00:00"/>
    <n v="0"/>
    <m/>
    <m/>
    <m/>
    <m/>
    <m/>
    <m/>
    <m/>
    <n v="0"/>
    <n v="6"/>
    <n v="0"/>
    <m/>
    <m/>
    <x v="0"/>
    <x v="1"/>
    <x v="1"/>
    <m/>
    <m/>
    <m/>
    <m/>
    <m/>
    <m/>
    <m/>
    <m/>
    <m/>
    <m/>
    <m/>
    <m/>
    <m/>
    <m/>
    <m/>
  </r>
  <r>
    <x v="394"/>
    <x v="6"/>
    <d v="1970-01-01T00:00:00"/>
    <n v="0"/>
    <m/>
    <m/>
    <m/>
    <m/>
    <m/>
    <m/>
    <m/>
    <n v="0"/>
    <n v="6"/>
    <n v="0"/>
    <m/>
    <m/>
    <x v="0"/>
    <x v="1"/>
    <x v="1"/>
    <m/>
    <m/>
    <m/>
    <m/>
    <m/>
    <m/>
    <m/>
    <m/>
    <m/>
    <m/>
    <m/>
    <m/>
    <m/>
    <m/>
    <m/>
  </r>
  <r>
    <x v="395"/>
    <x v="6"/>
    <d v="1970-01-01T00:00:00"/>
    <n v="0"/>
    <m/>
    <m/>
    <m/>
    <m/>
    <m/>
    <m/>
    <m/>
    <n v="0"/>
    <n v="7"/>
    <n v="0"/>
    <m/>
    <m/>
    <x v="0"/>
    <x v="1"/>
    <x v="1"/>
    <m/>
    <m/>
    <m/>
    <m/>
    <m/>
    <m/>
    <m/>
    <m/>
    <m/>
    <m/>
    <m/>
    <m/>
    <m/>
    <m/>
    <m/>
  </r>
  <r>
    <x v="396"/>
    <x v="6"/>
    <d v="1970-01-01T00:00:00"/>
    <n v="0"/>
    <m/>
    <m/>
    <m/>
    <m/>
    <m/>
    <m/>
    <m/>
    <n v="0"/>
    <n v="1"/>
    <n v="0"/>
    <m/>
    <m/>
    <x v="0"/>
    <x v="1"/>
    <x v="1"/>
    <m/>
    <m/>
    <m/>
    <m/>
    <m/>
    <m/>
    <m/>
    <m/>
    <m/>
    <m/>
    <m/>
    <m/>
    <m/>
    <m/>
    <m/>
  </r>
  <r>
    <x v="397"/>
    <x v="6"/>
    <d v="1970-01-01T00:00:00"/>
    <n v="0"/>
    <m/>
    <m/>
    <m/>
    <m/>
    <m/>
    <m/>
    <m/>
    <n v="0"/>
    <n v="10"/>
    <n v="0"/>
    <m/>
    <m/>
    <x v="0"/>
    <x v="1"/>
    <x v="1"/>
    <m/>
    <m/>
    <m/>
    <m/>
    <m/>
    <m/>
    <m/>
    <m/>
    <m/>
    <m/>
    <m/>
    <m/>
    <m/>
    <m/>
    <m/>
  </r>
  <r>
    <x v="398"/>
    <x v="6"/>
    <d v="1970-01-01T00:00:00"/>
    <n v="0"/>
    <m/>
    <m/>
    <m/>
    <m/>
    <m/>
    <m/>
    <m/>
    <n v="0"/>
    <n v="1"/>
    <n v="0"/>
    <m/>
    <m/>
    <x v="0"/>
    <x v="1"/>
    <x v="1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B1FB1F-BA81-43E6-8BB5-78C839C878DF}" name="DataPivot" cacheId="0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G116" firstHeaderRow="0" firstDataRow="1" firstDataCol="1" rowPageCount="1" colPageCount="2"/>
  <pivotFields count="34">
    <pivotField axis="axisRow" showAll="0" sortType="descending">
      <items count="400">
        <item x="110"/>
        <item x="354"/>
        <item x="398"/>
        <item x="397"/>
        <item x="367"/>
        <item x="339"/>
        <item x="355"/>
        <item x="346"/>
        <item x="104"/>
        <item x="100"/>
        <item x="116"/>
        <item x="394"/>
        <item x="178"/>
        <item x="113"/>
        <item x="68"/>
        <item x="320"/>
        <item x="287"/>
        <item x="336"/>
        <item x="301"/>
        <item x="335"/>
        <item x="227"/>
        <item x="253"/>
        <item x="298"/>
        <item x="94"/>
        <item x="114"/>
        <item x="87"/>
        <item x="218"/>
        <item x="275"/>
        <item x="214"/>
        <item x="374"/>
        <item x="22"/>
        <item x="191"/>
        <item x="310"/>
        <item x="128"/>
        <item x="396"/>
        <item x="383"/>
        <item x="33"/>
        <item x="369"/>
        <item x="344"/>
        <item x="338"/>
        <item x="69"/>
        <item x="164"/>
        <item x="277"/>
        <item x="313"/>
        <item x="257"/>
        <item x="210"/>
        <item x="89"/>
        <item x="77"/>
        <item x="295"/>
        <item x="174"/>
        <item x="293"/>
        <item x="126"/>
        <item x="185"/>
        <item x="148"/>
        <item x="382"/>
        <item x="378"/>
        <item x="380"/>
        <item x="384"/>
        <item x="391"/>
        <item x="232"/>
        <item x="365"/>
        <item x="372"/>
        <item x="364"/>
        <item x="362"/>
        <item x="390"/>
        <item x="201"/>
        <item x="328"/>
        <item x="327"/>
        <item x="321"/>
        <item x="311"/>
        <item x="304"/>
        <item x="54"/>
        <item x="199"/>
        <item x="256"/>
        <item x="16"/>
        <item x="91"/>
        <item x="31"/>
        <item x="19"/>
        <item x="139"/>
        <item x="294"/>
        <item x="289"/>
        <item x="351"/>
        <item x="262"/>
        <item x="263"/>
        <item x="209"/>
        <item x="285"/>
        <item x="18"/>
        <item x="314"/>
        <item x="229"/>
        <item x="14"/>
        <item x="272"/>
        <item x="106"/>
        <item x="105"/>
        <item x="1"/>
        <item x="200"/>
        <item x="64"/>
        <item x="123"/>
        <item x="44"/>
        <item x="72"/>
        <item x="34"/>
        <item x="184"/>
        <item x="182"/>
        <item x="373"/>
        <item x="266"/>
        <item x="250"/>
        <item x="237"/>
        <item x="50"/>
        <item x="303"/>
        <item x="220"/>
        <item x="273"/>
        <item x="247"/>
        <item x="4"/>
        <item x="269"/>
        <item x="238"/>
        <item x="261"/>
        <item x="385"/>
        <item x="144"/>
        <item x="370"/>
        <item x="203"/>
        <item x="0"/>
        <item x="393"/>
        <item x="342"/>
        <item x="154"/>
        <item x="307"/>
        <item x="376"/>
        <item x="5"/>
        <item x="133"/>
        <item x="150"/>
        <item x="145"/>
        <item x="43"/>
        <item x="168"/>
        <item x="129"/>
        <item x="9"/>
        <item x="228"/>
        <item x="32"/>
        <item x="151"/>
        <item x="173"/>
        <item x="131"/>
        <item x="39"/>
        <item x="82"/>
        <item x="112"/>
        <item x="124"/>
        <item x="15"/>
        <item x="274"/>
        <item x="197"/>
        <item x="99"/>
        <item x="60"/>
        <item x="315"/>
        <item x="140"/>
        <item x="7"/>
        <item x="317"/>
        <item x="26"/>
        <item x="38"/>
        <item x="74"/>
        <item x="368"/>
        <item x="79"/>
        <item x="53"/>
        <item x="75"/>
        <item x="325"/>
        <item x="324"/>
        <item x="326"/>
        <item x="292"/>
        <item x="330"/>
        <item x="13"/>
        <item x="340"/>
        <item x="160"/>
        <item x="40"/>
        <item x="248"/>
        <item x="95"/>
        <item x="246"/>
        <item x="175"/>
        <item x="153"/>
        <item x="180"/>
        <item x="296"/>
        <item x="78"/>
        <item x="93"/>
        <item x="55"/>
        <item x="96"/>
        <item x="290"/>
        <item x="102"/>
        <item x="158"/>
        <item x="189"/>
        <item x="97"/>
        <item x="176"/>
        <item x="226"/>
        <item x="147"/>
        <item x="198"/>
        <item x="132"/>
        <item x="134"/>
        <item x="194"/>
        <item x="103"/>
        <item x="63"/>
        <item x="202"/>
        <item x="216"/>
        <item x="302"/>
        <item x="255"/>
        <item x="243"/>
        <item x="71"/>
        <item x="264"/>
        <item x="331"/>
        <item x="217"/>
        <item x="138"/>
        <item x="260"/>
        <item x="343"/>
        <item x="172"/>
        <item x="235"/>
        <item x="230"/>
        <item x="101"/>
        <item x="388"/>
        <item x="224"/>
        <item x="47"/>
        <item x="267"/>
        <item x="59"/>
        <item x="283"/>
        <item x="375"/>
        <item x="167"/>
        <item x="236"/>
        <item x="108"/>
        <item x="258"/>
        <item x="276"/>
        <item x="278"/>
        <item x="282"/>
        <item x="284"/>
        <item x="299"/>
        <item x="49"/>
        <item x="70"/>
        <item x="142"/>
        <item x="259"/>
        <item x="149"/>
        <item x="254"/>
        <item x="242"/>
        <item x="234"/>
        <item x="223"/>
        <item x="207"/>
        <item x="170"/>
        <item x="165"/>
        <item x="159"/>
        <item x="377"/>
        <item x="356"/>
        <item x="345"/>
        <item x="244"/>
        <item x="65"/>
        <item x="265"/>
        <item x="118"/>
        <item x="157"/>
        <item x="52"/>
        <item x="11"/>
        <item x="66"/>
        <item x="152"/>
        <item x="181"/>
        <item x="115"/>
        <item x="192"/>
        <item x="208"/>
        <item x="81"/>
        <item x="109"/>
        <item x="136"/>
        <item x="58"/>
        <item x="222"/>
        <item x="212"/>
        <item x="291"/>
        <item x="161"/>
        <item x="42"/>
        <item x="37"/>
        <item x="92"/>
        <item x="205"/>
        <item x="76"/>
        <item x="137"/>
        <item x="195"/>
        <item x="221"/>
        <item x="190"/>
        <item x="386"/>
        <item x="297"/>
        <item x="27"/>
        <item x="48"/>
        <item x="286"/>
        <item x="280"/>
        <item x="249"/>
        <item x="334"/>
        <item x="21"/>
        <item x="25"/>
        <item x="268"/>
        <item x="371"/>
        <item x="270"/>
        <item x="88"/>
        <item x="51"/>
        <item x="83"/>
        <item x="67"/>
        <item x="363"/>
        <item x="357"/>
        <item x="350"/>
        <item x="361"/>
        <item x="360"/>
        <item x="358"/>
        <item x="395"/>
        <item x="341"/>
        <item x="251"/>
        <item x="120"/>
        <item x="8"/>
        <item x="135"/>
        <item x="84"/>
        <item x="215"/>
        <item x="171"/>
        <item x="353"/>
        <item x="6"/>
        <item x="337"/>
        <item x="381"/>
        <item x="271"/>
        <item x="143"/>
        <item x="62"/>
        <item x="281"/>
        <item x="288"/>
        <item x="279"/>
        <item x="183"/>
        <item x="204"/>
        <item x="111"/>
        <item x="121"/>
        <item x="117"/>
        <item x="35"/>
        <item x="188"/>
        <item x="193"/>
        <item x="389"/>
        <item x="107"/>
        <item x="24"/>
        <item x="241"/>
        <item x="187"/>
        <item x="162"/>
        <item x="125"/>
        <item x="130"/>
        <item x="231"/>
        <item x="233"/>
        <item x="245"/>
        <item x="240"/>
        <item x="225"/>
        <item x="90"/>
        <item x="211"/>
        <item x="73"/>
        <item x="379"/>
        <item x="312"/>
        <item x="306"/>
        <item x="387"/>
        <item x="61"/>
        <item x="308"/>
        <item x="352"/>
        <item x="3"/>
        <item x="20"/>
        <item x="309"/>
        <item x="305"/>
        <item x="179"/>
        <item x="196"/>
        <item x="141"/>
        <item x="163"/>
        <item x="17"/>
        <item x="322"/>
        <item x="206"/>
        <item x="36"/>
        <item x="329"/>
        <item x="29"/>
        <item x="57"/>
        <item x="30"/>
        <item x="45"/>
        <item x="316"/>
        <item x="146"/>
        <item x="2"/>
        <item x="333"/>
        <item x="23"/>
        <item x="86"/>
        <item x="80"/>
        <item x="155"/>
        <item x="156"/>
        <item x="349"/>
        <item x="392"/>
        <item x="347"/>
        <item x="98"/>
        <item x="213"/>
        <item x="359"/>
        <item x="177"/>
        <item x="348"/>
        <item x="366"/>
        <item x="318"/>
        <item x="239"/>
        <item x="319"/>
        <item x="252"/>
        <item x="85"/>
        <item x="28"/>
        <item x="46"/>
        <item x="186"/>
        <item x="169"/>
        <item x="12"/>
        <item x="122"/>
        <item x="332"/>
        <item x="166"/>
        <item x="119"/>
        <item x="323"/>
        <item x="56"/>
        <item x="41"/>
        <item x="300"/>
        <item x="219"/>
        <item x="10"/>
        <item x="12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8">
        <item n="Personal" x="3"/>
        <item n="How To" x="2"/>
        <item n="Memory/Studying" x="4"/>
        <item n="Deep Dives" sd="0" x="0"/>
        <item n="Book Reviews" x="1"/>
        <item n="Tech/Apps" x="5"/>
        <item sd="0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2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sd="0"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16"/>
    <field x="0"/>
  </rowFields>
  <rowItems count="113">
    <i>
      <x/>
    </i>
    <i r="1">
      <x v="1"/>
    </i>
    <i r="2">
      <x v="96"/>
    </i>
    <i r="2">
      <x v="315"/>
    </i>
    <i r="2">
      <x v="97"/>
    </i>
    <i r="2">
      <x v="24"/>
    </i>
    <i r="2">
      <x v="265"/>
    </i>
    <i r="2">
      <x v="335"/>
    </i>
    <i r="2">
      <x/>
    </i>
    <i r="2">
      <x v="303"/>
    </i>
    <i r="2">
      <x v="283"/>
    </i>
    <i r="2">
      <x v="23"/>
    </i>
    <i r="2">
      <x v="317"/>
    </i>
    <i r="2">
      <x v="174"/>
    </i>
    <i r="2">
      <x v="179"/>
    </i>
    <i r="1">
      <x v="2"/>
    </i>
    <i r="2">
      <x v="140"/>
    </i>
    <i r="2">
      <x v="316"/>
    </i>
    <i r="2">
      <x v="273"/>
    </i>
    <i r="2">
      <x v="296"/>
    </i>
    <i r="2">
      <x v="89"/>
    </i>
    <i r="2">
      <x v="364"/>
    </i>
    <i r="2">
      <x v="272"/>
    </i>
    <i r="2">
      <x v="321"/>
    </i>
    <i r="2">
      <x v="14"/>
    </i>
    <i r="2">
      <x v="212"/>
    </i>
    <i r="2">
      <x v="177"/>
    </i>
    <i r="2">
      <x v="9"/>
    </i>
    <i r="2">
      <x v="217"/>
    </i>
    <i r="2">
      <x v="391"/>
    </i>
    <i r="1">
      <x v="3"/>
    </i>
    <i r="2">
      <x v="139"/>
    </i>
    <i r="2">
      <x v="176"/>
    </i>
    <i r="2">
      <x v="262"/>
    </i>
    <i r="2">
      <x v="10"/>
    </i>
    <i r="2">
      <x v="95"/>
    </i>
    <i r="2">
      <x v="246"/>
    </i>
    <i r="2">
      <x v="46"/>
    </i>
    <i>
      <x v="1"/>
    </i>
    <i r="1">
      <x/>
    </i>
    <i r="1">
      <x v="1"/>
    </i>
    <i r="2">
      <x v="261"/>
    </i>
    <i r="2">
      <x v="166"/>
    </i>
    <i r="2">
      <x v="125"/>
    </i>
    <i r="2">
      <x v="146"/>
    </i>
    <i r="2">
      <x v="357"/>
    </i>
    <i r="2">
      <x v="241"/>
    </i>
    <i r="2">
      <x v="138"/>
    </i>
    <i r="2">
      <x v="156"/>
    </i>
    <i r="1">
      <x v="2"/>
    </i>
    <i r="2">
      <x v="153"/>
    </i>
    <i r="2">
      <x v="358"/>
    </i>
    <i r="2">
      <x v="145"/>
    </i>
    <i r="2">
      <x v="343"/>
    </i>
    <i r="2">
      <x v="142"/>
    </i>
    <i r="2">
      <x v="152"/>
    </i>
    <i r="1">
      <x v="3"/>
    </i>
    <i r="2">
      <x v="149"/>
    </i>
    <i>
      <x v="2"/>
    </i>
    <i r="1">
      <x v="1"/>
    </i>
    <i r="2">
      <x v="326"/>
    </i>
    <i r="2">
      <x v="168"/>
    </i>
    <i r="1">
      <x v="2"/>
    </i>
    <i r="2">
      <x v="132"/>
    </i>
    <i r="2">
      <x v="13"/>
    </i>
    <i r="2">
      <x v="333"/>
    </i>
    <i r="2">
      <x v="314"/>
    </i>
    <i r="1">
      <x v="3"/>
    </i>
    <i r="2">
      <x v="141"/>
    </i>
    <i r="2">
      <x v="299"/>
    </i>
    <i r="2">
      <x v="8"/>
    </i>
    <i>
      <x v="3"/>
    </i>
    <i>
      <x v="4"/>
    </i>
    <i r="1">
      <x v="1"/>
    </i>
    <i r="2">
      <x v="191"/>
    </i>
    <i r="2">
      <x v="351"/>
    </i>
    <i r="2">
      <x v="359"/>
    </i>
    <i r="2">
      <x v="163"/>
    </i>
    <i r="2">
      <x v="354"/>
    </i>
    <i r="2">
      <x v="362"/>
    </i>
    <i r="1">
      <x v="2"/>
    </i>
    <i r="2">
      <x v="366"/>
    </i>
    <i r="2">
      <x v="382"/>
    </i>
    <i r="2">
      <x v="256"/>
    </i>
    <i r="2">
      <x v="393"/>
    </i>
    <i r="2">
      <x v="383"/>
    </i>
    <i>
      <x v="5"/>
    </i>
    <i r="1">
      <x v="1"/>
    </i>
    <i r="2">
      <x v="25"/>
    </i>
    <i r="2">
      <x v="372"/>
    </i>
    <i r="2">
      <x v="394"/>
    </i>
    <i r="2">
      <x v="197"/>
    </i>
    <i r="1">
      <x v="2"/>
    </i>
    <i r="2">
      <x v="175"/>
    </i>
    <i r="2">
      <x v="263"/>
    </i>
    <i r="2">
      <x v="40"/>
    </i>
    <i r="2">
      <x v="365"/>
    </i>
    <i r="2">
      <x v="182"/>
    </i>
    <i r="2">
      <x v="344"/>
    </i>
    <i r="2">
      <x v="247"/>
    </i>
    <i r="2">
      <x v="47"/>
    </i>
    <i r="2">
      <x v="356"/>
    </i>
    <i r="2">
      <x v="245"/>
    </i>
    <i r="2">
      <x v="387"/>
    </i>
    <i r="2">
      <x v="243"/>
    </i>
    <i r="1">
      <x v="3"/>
    </i>
    <i r="2">
      <x v="254"/>
    </i>
    <i r="2">
      <x v="250"/>
    </i>
    <i r="2">
      <x v="253"/>
    </i>
    <i r="2">
      <x v="388"/>
    </i>
    <i r="2">
      <x v="129"/>
    </i>
    <i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7" item="1" hier="-1"/>
    <pageField fld="18" item="1" hier="-1"/>
  </pageFields>
  <dataFields count="6">
    <dataField name="Average of AWT (%)" fld="7" subtotal="average" baseField="0" baseItem="0" numFmtId="2"/>
    <dataField name="Average of Views" fld="8" subtotal="average" baseField="0" baseItem="0" numFmtId="3"/>
    <dataField name="Average of Subscribers" fld="10" subtotal="average" baseField="0" baseItem="0" numFmtId="1"/>
    <dataField name="Average of Revenue" fld="11" subtotal="average" baseField="0" baseItem="0" numFmtId="1"/>
    <dataField name="Average of Impressions" fld="12" subtotal="average" baseField="0" baseItem="0" numFmtId="1"/>
    <dataField name="Average of CTR" fld="13" subtotal="average" baseField="0" baseItem="0" numFmtId="2"/>
  </dataFields>
  <formats count="2">
    <format dxfId="1">
      <pivotArea dataOnly="0" outline="0" fieldPosition="0">
        <references count="3">
          <reference field="4294967294" count="1">
            <x v="4"/>
          </reference>
          <reference field="17" count="1" selected="0">
            <x v="1"/>
          </reference>
          <reference field="18" count="1" selected="0">
            <x v="1"/>
          </reference>
        </references>
      </pivotArea>
    </format>
    <format dxfId="0">
      <pivotArea outline="0" fieldPosition="0">
        <references count="1">
          <reference field="4294967294" count="1">
            <x v="5"/>
          </reference>
        </references>
      </pivotArea>
    </format>
  </formats>
  <conditionalFormats count="4">
    <conditionalFormat priority="1">
      <pivotAreas count="1">
        <pivotArea outline="0" fieldPosition="0">
          <references count="3">
            <reference field="4294967294" count="1">
              <x v="1"/>
            </reference>
            <reference field="17" count="1" selected="0">
              <x v="1"/>
            </reference>
            <reference field="18" count="1" selected="0">
              <x v="1"/>
            </reference>
          </references>
        </pivotArea>
      </pivotAreas>
    </conditionalFormat>
    <conditionalFormat priority="4">
      <pivotAreas count="1">
        <pivotArea outline="0" fieldPosition="0">
          <references count="3">
            <reference field="4294967294" count="1">
              <x v="2"/>
            </reference>
            <reference field="17" count="1" selected="0">
              <x v="1"/>
            </reference>
            <reference field="18" count="1" selected="0">
              <x v="1"/>
            </reference>
          </references>
        </pivotArea>
      </pivotAreas>
    </conditionalFormat>
    <conditionalFormat priority="3">
      <pivotAreas count="1">
        <pivotArea outline="0" fieldPosition="0">
          <references count="3">
            <reference field="4294967294" count="1">
              <x v="3"/>
            </reference>
            <reference field="17" count="1" selected="0">
              <x v="1"/>
            </reference>
            <reference field="18" count="1" selected="0">
              <x v="1"/>
            </reference>
          </references>
        </pivotArea>
      </pivotAreas>
    </conditionalFormat>
    <conditionalFormat priority="2">
      <pivotAreas count="1">
        <pivotArea outline="0" fieldPosition="0">
          <references count="3">
            <reference field="4294967294" count="1">
              <x v="4"/>
            </reference>
            <reference field="17" count="1" selected="0">
              <x v="1"/>
            </reference>
            <reference field="18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78D68C-96ED-4983-927A-C6E2334EE6AC}" name="RawData" displayName="RawData" ref="A1:AH405" totalsRowShown="0" headerRowDxfId="39" headerRowBorderDxfId="38" tableBorderDxfId="37" totalsRowBorderDxfId="36">
  <autoFilter ref="A1:AH405" xr:uid="{E6DBC368-8F76-465E-8F33-61565DD144B4}"/>
  <sortState xmlns:xlrd2="http://schemas.microsoft.com/office/spreadsheetml/2017/richdata2" ref="A2:AH405">
    <sortCondition descending="1" ref="C1:C405"/>
  </sortState>
  <tableColumns count="34">
    <tableColumn id="2" xr3:uid="{6E9DC2CA-FD4B-4DA7-966B-FA41AE1FC154}" name="Video title" dataDxfId="35"/>
    <tableColumn id="18" xr3:uid="{FB0E5C2C-DF0E-4D37-806D-C4FBDB3CB7B8}" name="Video Type" dataDxfId="34"/>
    <tableColumn id="3" xr3:uid="{2F20B73A-31B2-498A-AD81-FB54BECEC134}" name="Video publish time" dataDxfId="33"/>
    <tableColumn id="4" xr3:uid="{94393A74-8102-418E-B8A0-45A672CB9E15}" name="EMPs" dataDxfId="32"/>
    <tableColumn id="5" xr3:uid="{F3D10346-F499-4B82-A6EA-47C7FB4998A5}" name="CPM (GBP)" dataDxfId="31"/>
    <tableColumn id="6" xr3:uid="{0838C8B4-A1F0-49F8-8289-5E3CDB105CD1}" name="End screen element clicks" dataDxfId="30"/>
    <tableColumn id="7" xr3:uid="{1E970279-A1B4-4502-8A7D-DE2F459CD443}" name="RPM (GBP)" dataDxfId="29"/>
    <tableColumn id="8" xr3:uid="{E2E7AF53-01F7-4543-A272-962073ACBA39}" name="AWT (%)" dataDxfId="28"/>
    <tableColumn id="9" xr3:uid="{7849E84C-5917-41C3-B866-2E6FDC80012F}" name="Views" dataDxfId="27"/>
    <tableColumn id="10" xr3:uid="{92795A0C-4064-442B-8BA4-9FE82414BC9E}" name="Watch Time" dataDxfId="26"/>
    <tableColumn id="11" xr3:uid="{8ECC4B28-9FAC-4F38-BA7F-B3E8FF47CF4D}" name="Subscribers" dataDxfId="25"/>
    <tableColumn id="12" xr3:uid="{66B4ED03-F658-482C-BD56-E637EAF789FE}" name="Revenue" dataDxfId="24"/>
    <tableColumn id="13" xr3:uid="{227DC29E-2111-4FBA-B14D-AEFFA4EE7BB2}" name="Impressions" dataDxfId="23"/>
    <tableColumn id="14" xr3:uid="{06E72EDD-F854-4D18-9B60-CA40D9567D06}" name="CTR" dataDxfId="22"/>
    <tableColumn id="15" xr3:uid="{A107568F-D7E1-4B30-8D64-B666987EACAC}" name="Video Length" dataDxfId="21"/>
    <tableColumn id="16" xr3:uid="{C5E49F0E-FBE5-40EE-87E1-B7FEFBD0C9F3}" name="Length (Sec)" dataDxfId="20">
      <calculatedColumnFormula>60*MINUTE(O2) + SECOND(O2)</calculatedColumnFormula>
    </tableColumn>
    <tableColumn id="17" xr3:uid="{CE44B544-5683-42FF-945D-528058D5BCFD}" name="Length Category" dataDxfId="19">
      <calculatedColumnFormula array="1">_xlfn.IFS(RawData[[#This Row],[Length (Sec)]]&lt;600, "Short", RawData[[#This Row],[Length (Sec)]]&lt;1200, "Mid", RawData[[#This Row],[Length (Sec)]]&gt;1199, "Long")</calculatedColumnFormula>
    </tableColumn>
    <tableColumn id="19" xr3:uid="{1DE585D9-CF87-4B7B-B4AA-F346CD73CD05}" name="Date Validator" dataDxfId="18">
      <calculatedColumnFormula>IF(DATEDIF(C2,TODAY(),"d")&gt;365,FALSE, TRUE)</calculatedColumnFormula>
    </tableColumn>
    <tableColumn id="20" xr3:uid="{25E1AB05-132B-4D34-852E-C9EB5ED75F8B}" name="Views Validator" dataDxfId="17">
      <calculatedColumnFormula>IF(I2&lt;15000,FALSE, TRUE)</calculatedColumnFormula>
    </tableColumn>
    <tableColumn id="21" xr3:uid="{4678348E-797A-4CC9-BD6D-FDF9BEE3E05A}" name="TN A" dataDxfId="16"/>
    <tableColumn id="22" xr3:uid="{CBDAB1F2-4548-44B6-8AC2-6DB077B4D5A2}" name="TN B" dataDxfId="15"/>
    <tableColumn id="23" xr3:uid="{1961073A-2924-4D35-800D-3B834315C17E}" name="TN C" dataDxfId="14"/>
    <tableColumn id="24" xr3:uid="{3838A2CD-B844-4FDF-A9C4-0055312A19C7}" name="TN D" dataDxfId="13"/>
    <tableColumn id="25" xr3:uid="{75F476F3-2C35-443D-841C-87CD52BA9577}" name="TN E" dataDxfId="12"/>
    <tableColumn id="26" xr3:uid="{0E5542C9-CC6C-452D-A9FE-A8AE12498048}" name="TN F" dataDxfId="11"/>
    <tableColumn id="27" xr3:uid="{BBCD9A31-0A5D-4D5D-B1CA-A77BBB7D324D}" name="TN G" dataDxfId="10"/>
    <tableColumn id="28" xr3:uid="{44C82909-27D6-4A73-AD6B-01D73446063D}" name="TN H" dataDxfId="9"/>
    <tableColumn id="29" xr3:uid="{F43FED5D-4DC1-4F58-825C-451CDE801319}" name="TN I" dataDxfId="8"/>
    <tableColumn id="30" xr3:uid="{2D9F1FF5-A704-4DD9-9FD4-EB80360532F8}" name="TN J" dataDxfId="7"/>
    <tableColumn id="31" xr3:uid="{F19FB25C-030A-49A1-893D-26D94BE120B8}" name="% India" dataDxfId="6"/>
    <tableColumn id="32" xr3:uid="{3E96E214-5C8A-4BE3-8C3D-0E01DDD7BDE0}" name="% US" dataDxfId="5"/>
    <tableColumn id="33" xr3:uid="{0298125A-1248-4AEF-8412-191D4BA55BC7}" name="% UK" dataDxfId="4"/>
    <tableColumn id="34" xr3:uid="{978ABA6A-2332-4F5F-B656-991C6D8C431B}" name="TN K" dataDxfId="3"/>
    <tableColumn id="35" xr3:uid="{5BD4B62F-EE14-4430-A28B-C552258FEF2F}" name="TN L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BE248-610B-4738-97CC-EE0F6A495292}">
  <sheetPr codeName="Sheet2"/>
  <dimension ref="A1:AH413"/>
  <sheetViews>
    <sheetView tabSelected="1" zoomScale="60" zoomScaleNormal="60" workbookViewId="0">
      <selection activeCell="P9" sqref="P9"/>
    </sheetView>
  </sheetViews>
  <sheetFormatPr defaultRowHeight="14.5" x14ac:dyDescent="0.35"/>
  <cols>
    <col min="1" max="1" width="88.36328125" bestFit="1" customWidth="1"/>
    <col min="2" max="2" width="13.6328125" style="12" bestFit="1" customWidth="1"/>
    <col min="3" max="3" width="20.6328125" style="16" customWidth="1"/>
    <col min="4" max="4" width="9.08984375" style="21" bestFit="1" customWidth="1"/>
    <col min="5" max="5" width="13.54296875" style="16" bestFit="1" customWidth="1"/>
    <col min="6" max="6" width="26.1796875" style="21" customWidth="1"/>
    <col min="7" max="7" width="13.54296875" style="21" bestFit="1" customWidth="1"/>
    <col min="8" max="8" width="11.36328125" style="16" bestFit="1" customWidth="1"/>
    <col min="9" max="9" width="9.08984375" style="16" bestFit="1" customWidth="1"/>
    <col min="10" max="10" width="14" bestFit="1" customWidth="1"/>
    <col min="11" max="11" width="14.453125" style="21" bestFit="1" customWidth="1"/>
    <col min="12" max="12" width="11.54296875" style="16" bestFit="1" customWidth="1"/>
    <col min="13" max="13" width="14.54296875" bestFit="1" customWidth="1"/>
    <col min="14" max="14" width="7.7265625" bestFit="1" customWidth="1"/>
    <col min="15" max="15" width="15.453125" style="84" bestFit="1" customWidth="1"/>
    <col min="16" max="16" width="14.90625" style="87" bestFit="1" customWidth="1"/>
    <col min="17" max="17" width="18.54296875" bestFit="1" customWidth="1"/>
    <col min="18" max="18" width="16" bestFit="1" customWidth="1"/>
    <col min="19" max="19" width="17.36328125" bestFit="1" customWidth="1"/>
    <col min="20" max="20" width="8.08984375" bestFit="1" customWidth="1"/>
    <col min="21" max="23" width="8.1796875" bestFit="1" customWidth="1"/>
    <col min="24" max="24" width="8.08984375" bestFit="1" customWidth="1"/>
    <col min="25" max="25" width="7.90625" bestFit="1" customWidth="1"/>
    <col min="26" max="27" width="8.1796875" bestFit="1" customWidth="1"/>
    <col min="28" max="28" width="7.26953125" bestFit="1" customWidth="1"/>
    <col min="29" max="29" width="7.81640625" bestFit="1" customWidth="1"/>
    <col min="30" max="30" width="10.36328125" bestFit="1" customWidth="1"/>
    <col min="31" max="31" width="8.7265625" bestFit="1" customWidth="1"/>
    <col min="32" max="32" width="8.81640625" bestFit="1" customWidth="1"/>
    <col min="33" max="33" width="8.1796875" bestFit="1" customWidth="1"/>
    <col min="34" max="34" width="7.90625" bestFit="1" customWidth="1"/>
  </cols>
  <sheetData>
    <row r="1" spans="1:34" ht="15" thickBot="1" x14ac:dyDescent="0.4">
      <c r="A1" s="5" t="s">
        <v>0</v>
      </c>
      <c r="B1" s="5" t="s">
        <v>14</v>
      </c>
      <c r="C1" s="9" t="s">
        <v>1</v>
      </c>
      <c r="D1" s="13" t="s">
        <v>10</v>
      </c>
      <c r="E1" s="17" t="s">
        <v>51</v>
      </c>
      <c r="F1" s="13" t="s">
        <v>2</v>
      </c>
      <c r="G1" s="17" t="s">
        <v>52</v>
      </c>
      <c r="H1" s="17" t="s">
        <v>9</v>
      </c>
      <c r="I1" s="13" t="s">
        <v>3</v>
      </c>
      <c r="J1" s="13" t="s">
        <v>8</v>
      </c>
      <c r="K1" s="5" t="s">
        <v>4</v>
      </c>
      <c r="L1" s="17" t="s">
        <v>6</v>
      </c>
      <c r="M1" s="13" t="s">
        <v>5</v>
      </c>
      <c r="N1" s="6" t="s">
        <v>7</v>
      </c>
      <c r="O1" s="81" t="s">
        <v>11</v>
      </c>
      <c r="P1" s="85" t="s">
        <v>12</v>
      </c>
      <c r="Q1" s="5" t="s">
        <v>13</v>
      </c>
      <c r="R1" s="5" t="s">
        <v>15</v>
      </c>
      <c r="S1" s="5" t="s">
        <v>16</v>
      </c>
      <c r="T1" s="5" t="s">
        <v>40</v>
      </c>
      <c r="U1" s="5" t="s">
        <v>41</v>
      </c>
      <c r="V1" s="5" t="s">
        <v>42</v>
      </c>
      <c r="W1" s="5" t="s">
        <v>43</v>
      </c>
      <c r="X1" s="5" t="s">
        <v>44</v>
      </c>
      <c r="Y1" s="5" t="s">
        <v>45</v>
      </c>
      <c r="Z1" s="5" t="s">
        <v>46</v>
      </c>
      <c r="AA1" s="5" t="s">
        <v>47</v>
      </c>
      <c r="AB1" s="5" t="s">
        <v>48</v>
      </c>
      <c r="AC1" s="5" t="s">
        <v>49</v>
      </c>
      <c r="AD1" s="5" t="s">
        <v>461</v>
      </c>
      <c r="AE1" s="5" t="s">
        <v>462</v>
      </c>
      <c r="AF1" s="5" t="s">
        <v>463</v>
      </c>
      <c r="AG1" s="5" t="s">
        <v>471</v>
      </c>
      <c r="AH1" s="5" t="s">
        <v>472</v>
      </c>
    </row>
    <row r="2" spans="1:34" ht="15" thickBot="1" x14ac:dyDescent="0.4">
      <c r="A2" s="1" t="s">
        <v>390</v>
      </c>
      <c r="B2" s="1" t="s">
        <v>35</v>
      </c>
      <c r="C2" s="10">
        <v>44132</v>
      </c>
      <c r="D2" s="14">
        <v>11013</v>
      </c>
      <c r="E2" s="18">
        <v>6.3570000000000002</v>
      </c>
      <c r="F2" s="14">
        <v>0</v>
      </c>
      <c r="G2" s="18">
        <v>3.399</v>
      </c>
      <c r="H2" s="18">
        <v>6.08</v>
      </c>
      <c r="I2" s="14">
        <v>19686</v>
      </c>
      <c r="J2" s="14">
        <v>1221.2108000000001</v>
      </c>
      <c r="K2" s="2">
        <v>-44</v>
      </c>
      <c r="L2" s="18">
        <v>63.982999999999997</v>
      </c>
      <c r="M2" s="14">
        <v>709919</v>
      </c>
      <c r="N2" s="4">
        <v>1.68</v>
      </c>
      <c r="O2" s="25"/>
      <c r="P2" s="80"/>
      <c r="Q2" s="25"/>
      <c r="R2" s="25" t="b">
        <f ca="1">IF(DATEDIF(C2,TODAY(),"d")&gt;365,FALSE, TRUE)</f>
        <v>0</v>
      </c>
      <c r="S2" s="25" t="b">
        <f t="shared" ref="S2:S65" si="0">IF(I2&lt;15000,FALSE, TRUE)</f>
        <v>1</v>
      </c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ht="15" thickBot="1" x14ac:dyDescent="0.4">
      <c r="A3" s="1" t="s">
        <v>375</v>
      </c>
      <c r="B3" s="1" t="s">
        <v>35</v>
      </c>
      <c r="C3" s="10">
        <v>44131</v>
      </c>
      <c r="D3" s="14">
        <v>14625</v>
      </c>
      <c r="E3" s="18">
        <v>4.3970000000000002</v>
      </c>
      <c r="F3" s="14">
        <v>0</v>
      </c>
      <c r="G3" s="18">
        <v>2.2050000000000001</v>
      </c>
      <c r="H3" s="18">
        <v>6.53</v>
      </c>
      <c r="I3" s="14">
        <v>20607</v>
      </c>
      <c r="J3" s="14">
        <v>2699.63</v>
      </c>
      <c r="K3" s="2">
        <v>-89</v>
      </c>
      <c r="L3" s="18">
        <v>44.186</v>
      </c>
      <c r="M3" s="14">
        <v>1264365</v>
      </c>
      <c r="N3" s="4">
        <v>0.86</v>
      </c>
      <c r="O3" s="4"/>
      <c r="P3" s="79"/>
      <c r="Q3" s="4"/>
      <c r="R3" s="4" t="b">
        <f ca="1">IF(DATEDIF(C3,TODAY(),"d")&gt;365,FALSE, TRUE)</f>
        <v>0</v>
      </c>
      <c r="S3" s="4" t="b">
        <f t="shared" si="0"/>
        <v>1</v>
      </c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</row>
    <row r="4" spans="1:34" ht="15" thickBot="1" x14ac:dyDescent="0.4">
      <c r="A4" s="1" t="s">
        <v>379</v>
      </c>
      <c r="B4" s="1" t="s">
        <v>36</v>
      </c>
      <c r="C4" s="10">
        <v>44131</v>
      </c>
      <c r="D4" s="14">
        <v>11722</v>
      </c>
      <c r="E4" s="18">
        <v>5.4470000000000001</v>
      </c>
      <c r="F4" s="14">
        <v>0</v>
      </c>
      <c r="G4" s="18">
        <v>0.92500000000000004</v>
      </c>
      <c r="H4" s="18">
        <v>34.24</v>
      </c>
      <c r="I4" s="14">
        <v>49543</v>
      </c>
      <c r="J4" s="14">
        <v>2734.7586999999999</v>
      </c>
      <c r="K4" s="2">
        <v>37</v>
      </c>
      <c r="L4" s="18">
        <v>44.226999999999997</v>
      </c>
      <c r="M4" s="14">
        <v>686509</v>
      </c>
      <c r="N4" s="4">
        <v>4.51</v>
      </c>
      <c r="O4" s="82">
        <v>6.7129629629629622E-3</v>
      </c>
      <c r="P4" s="86">
        <f>60*MINUTE(O4) + SECOND(O4)</f>
        <v>580</v>
      </c>
      <c r="Q4" s="4" t="str" cm="1">
        <f t="array" ref="Q4">_xlfn.IFS(RawData[[#This Row],[Length (Sec)]]&lt;600, "Short", RawData[[#This Row],[Length (Sec)]]&lt;1200, "Mid", RawData[[#This Row],[Length (Sec)]]&gt;1199, "Long")</f>
        <v>Short</v>
      </c>
      <c r="R4" s="4" t="b">
        <f t="shared" ref="R2:R65" ca="1" si="1">IF(DATEDIF(C4,TODAY(),"d")&gt;365,FALSE, TRUE)</f>
        <v>0</v>
      </c>
      <c r="S4" s="4" t="b">
        <f t="shared" si="0"/>
        <v>1</v>
      </c>
      <c r="T4" s="4"/>
      <c r="U4" s="4"/>
      <c r="V4" s="4"/>
      <c r="W4" s="4"/>
      <c r="X4" s="4"/>
      <c r="Y4" s="4"/>
      <c r="Z4" s="4"/>
      <c r="AA4" s="4"/>
      <c r="AB4" s="4">
        <v>1</v>
      </c>
      <c r="AC4" s="4"/>
      <c r="AD4" s="4">
        <v>23.2</v>
      </c>
      <c r="AE4" s="4">
        <v>11.8</v>
      </c>
      <c r="AF4" s="4">
        <v>12.6</v>
      </c>
      <c r="AG4" s="4"/>
      <c r="AH4" s="4">
        <v>1</v>
      </c>
    </row>
    <row r="5" spans="1:34" ht="15" thickBot="1" x14ac:dyDescent="0.4">
      <c r="A5" s="1" t="s">
        <v>124</v>
      </c>
      <c r="B5" s="1" t="s">
        <v>19</v>
      </c>
      <c r="C5" s="10">
        <v>44125</v>
      </c>
      <c r="D5" s="14">
        <v>0</v>
      </c>
      <c r="E5" s="19"/>
      <c r="F5" s="14">
        <v>1350</v>
      </c>
      <c r="G5" s="18">
        <v>0</v>
      </c>
      <c r="H5" s="18">
        <v>38.29</v>
      </c>
      <c r="I5" s="14">
        <v>161069</v>
      </c>
      <c r="J5" s="14">
        <v>10898.486999999999</v>
      </c>
      <c r="K5" s="2">
        <v>704</v>
      </c>
      <c r="L5" s="18">
        <v>0</v>
      </c>
      <c r="M5" s="14">
        <v>2124061</v>
      </c>
      <c r="N5" s="4">
        <v>5.12</v>
      </c>
      <c r="O5" s="82">
        <v>7.3611111111111108E-3</v>
      </c>
      <c r="P5" s="86">
        <f>60*MINUTE(O5) + SECOND(O5)</f>
        <v>636</v>
      </c>
      <c r="Q5" s="4" t="str" cm="1">
        <f t="array" ref="Q5">_xlfn.IFS(RawData[[#This Row],[Length (Sec)]]&lt;600, "Short", RawData[[#This Row],[Length (Sec)]]&lt;1200, "Mid", RawData[[#This Row],[Length (Sec)]]&gt;1199, "Long")</f>
        <v>Mid</v>
      </c>
      <c r="R5" s="4" t="b">
        <f t="shared" ca="1" si="1"/>
        <v>0</v>
      </c>
      <c r="S5" s="4" t="b">
        <f t="shared" si="0"/>
        <v>1</v>
      </c>
      <c r="T5" s="4">
        <v>1</v>
      </c>
      <c r="U5" s="4">
        <v>1</v>
      </c>
      <c r="V5" s="4"/>
      <c r="W5" s="4"/>
      <c r="X5" s="4">
        <v>1</v>
      </c>
      <c r="Y5" s="4"/>
      <c r="Z5" s="4"/>
      <c r="AA5" s="4"/>
      <c r="AB5" s="4"/>
      <c r="AC5" s="4"/>
      <c r="AD5" s="4">
        <v>15.8</v>
      </c>
      <c r="AE5" s="4">
        <v>13.2</v>
      </c>
      <c r="AF5" s="4">
        <v>13.1</v>
      </c>
      <c r="AG5" s="4"/>
      <c r="AH5" s="4"/>
    </row>
    <row r="6" spans="1:34" ht="15" thickBot="1" x14ac:dyDescent="0.4">
      <c r="A6" s="1" t="s">
        <v>405</v>
      </c>
      <c r="B6" s="1" t="s">
        <v>35</v>
      </c>
      <c r="C6" s="10">
        <v>44123</v>
      </c>
      <c r="D6" s="14">
        <v>14896</v>
      </c>
      <c r="E6" s="18">
        <v>4.17</v>
      </c>
      <c r="F6" s="14">
        <v>0</v>
      </c>
      <c r="G6" s="18">
        <v>2.109</v>
      </c>
      <c r="H6" s="18">
        <v>5.72</v>
      </c>
      <c r="I6" s="14">
        <v>21216</v>
      </c>
      <c r="J6" s="14">
        <v>1878.2763</v>
      </c>
      <c r="K6" s="2">
        <v>-100</v>
      </c>
      <c r="L6" s="18">
        <v>44.713000000000001</v>
      </c>
      <c r="M6" s="14">
        <v>1359522</v>
      </c>
      <c r="N6" s="4">
        <v>0.86</v>
      </c>
      <c r="O6" s="4"/>
      <c r="P6" s="79"/>
      <c r="Q6" s="4"/>
      <c r="R6" s="4" t="b">
        <f t="shared" ca="1" si="1"/>
        <v>0</v>
      </c>
      <c r="S6" s="4" t="b">
        <f t="shared" si="0"/>
        <v>1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</row>
    <row r="7" spans="1:34" ht="15" thickBot="1" x14ac:dyDescent="0.4">
      <c r="A7" s="1" t="s">
        <v>61</v>
      </c>
      <c r="B7" s="1" t="s">
        <v>19</v>
      </c>
      <c r="C7" s="10">
        <v>44122</v>
      </c>
      <c r="D7" s="14">
        <v>254428</v>
      </c>
      <c r="E7" s="18">
        <v>5.0389999999999997</v>
      </c>
      <c r="F7" s="14">
        <v>10567</v>
      </c>
      <c r="G7" s="18">
        <v>2.6219999999999999</v>
      </c>
      <c r="H7" s="18">
        <v>52.42</v>
      </c>
      <c r="I7" s="14">
        <v>325384</v>
      </c>
      <c r="J7" s="14">
        <v>18010.430899999999</v>
      </c>
      <c r="K7" s="2">
        <v>1693</v>
      </c>
      <c r="L7" s="18">
        <v>841.33500000000004</v>
      </c>
      <c r="M7" s="14">
        <v>3866479</v>
      </c>
      <c r="N7" s="4">
        <v>5.56</v>
      </c>
      <c r="O7" s="82">
        <v>4.3981481481481484E-3</v>
      </c>
      <c r="P7" s="86">
        <f>60*MINUTE(O7) + SECOND(O7)</f>
        <v>380</v>
      </c>
      <c r="Q7" s="4" t="str" cm="1">
        <f t="array" ref="Q7">_xlfn.IFS(RawData[[#This Row],[Length (Sec)]]&lt;600, "Short", RawData[[#This Row],[Length (Sec)]]&lt;1200, "Mid", RawData[[#This Row],[Length (Sec)]]&gt;1199, "Long")</f>
        <v>Short</v>
      </c>
      <c r="R7" s="4" t="b">
        <f t="shared" ca="1" si="1"/>
        <v>0</v>
      </c>
      <c r="S7" s="4" t="b">
        <f t="shared" si="0"/>
        <v>1</v>
      </c>
      <c r="T7" s="4">
        <v>1</v>
      </c>
      <c r="U7" s="4">
        <v>1</v>
      </c>
      <c r="V7" s="4"/>
      <c r="W7" s="4"/>
      <c r="X7" s="4">
        <v>1</v>
      </c>
      <c r="Y7" s="4"/>
      <c r="Z7" s="4"/>
      <c r="AA7" s="4"/>
      <c r="AB7" s="4"/>
      <c r="AC7" s="4"/>
      <c r="AD7" s="4">
        <v>11.5</v>
      </c>
      <c r="AE7" s="4">
        <v>21.3</v>
      </c>
      <c r="AF7" s="4">
        <v>20.3</v>
      </c>
      <c r="AG7" s="4"/>
      <c r="AH7" s="4"/>
    </row>
    <row r="8" spans="1:34" ht="15" thickBot="1" x14ac:dyDescent="0.4">
      <c r="A8" s="1" t="s">
        <v>76</v>
      </c>
      <c r="B8" s="1" t="s">
        <v>17</v>
      </c>
      <c r="C8" s="10">
        <v>44118</v>
      </c>
      <c r="D8" s="14">
        <v>0</v>
      </c>
      <c r="E8" s="19"/>
      <c r="F8" s="14">
        <v>4932</v>
      </c>
      <c r="G8" s="18">
        <v>0</v>
      </c>
      <c r="H8" s="18">
        <v>52.32</v>
      </c>
      <c r="I8" s="14">
        <v>194225</v>
      </c>
      <c r="J8" s="14">
        <v>13492.349</v>
      </c>
      <c r="K8" s="2">
        <v>386</v>
      </c>
      <c r="L8" s="18">
        <v>0</v>
      </c>
      <c r="M8" s="14">
        <v>2784203</v>
      </c>
      <c r="N8" s="4">
        <v>4.8899999999999997</v>
      </c>
      <c r="O8" s="82">
        <v>5.5324074074074069E-3</v>
      </c>
      <c r="P8" s="86">
        <f>60*MINUTE(O8) + SECOND(O8)</f>
        <v>478</v>
      </c>
      <c r="Q8" s="4" t="str" cm="1">
        <f t="array" ref="Q8">_xlfn.IFS(RawData[[#This Row],[Length (Sec)]]&lt;600, "Short", RawData[[#This Row],[Length (Sec)]]&lt;1200, "Mid", RawData[[#This Row],[Length (Sec)]]&gt;1199, "Long")</f>
        <v>Short</v>
      </c>
      <c r="R8" s="4" t="b">
        <f t="shared" ca="1" si="1"/>
        <v>0</v>
      </c>
      <c r="S8" s="4" t="b">
        <f t="shared" si="0"/>
        <v>1</v>
      </c>
      <c r="T8" s="4">
        <v>1</v>
      </c>
      <c r="U8" s="4"/>
      <c r="V8" s="4"/>
      <c r="W8" s="4"/>
      <c r="X8" s="4">
        <v>1</v>
      </c>
      <c r="Y8" s="4"/>
      <c r="Z8" s="4"/>
      <c r="AA8" s="4"/>
      <c r="AB8" s="4"/>
      <c r="AC8" s="4">
        <v>1</v>
      </c>
      <c r="AD8" s="4">
        <v>14.9</v>
      </c>
      <c r="AE8" s="4">
        <v>13.6</v>
      </c>
      <c r="AF8" s="4">
        <v>18</v>
      </c>
      <c r="AG8" s="4"/>
      <c r="AH8" s="4"/>
    </row>
    <row r="9" spans="1:34" ht="15" thickBot="1" x14ac:dyDescent="0.4">
      <c r="A9" s="1" t="s">
        <v>117</v>
      </c>
      <c r="B9" s="1" t="s">
        <v>19</v>
      </c>
      <c r="C9" s="10">
        <v>44115</v>
      </c>
      <c r="D9" s="14">
        <v>200805</v>
      </c>
      <c r="E9" s="18">
        <v>6.944</v>
      </c>
      <c r="F9" s="14">
        <v>1664</v>
      </c>
      <c r="G9" s="18">
        <v>4.04</v>
      </c>
      <c r="H9" s="18">
        <v>29.4</v>
      </c>
      <c r="I9" s="14">
        <v>225330</v>
      </c>
      <c r="J9" s="14">
        <v>32199.139599999999</v>
      </c>
      <c r="K9" s="2">
        <v>2283</v>
      </c>
      <c r="L9" s="18">
        <v>897.25400000000002</v>
      </c>
      <c r="M9" s="14">
        <v>4742790</v>
      </c>
      <c r="N9" s="4">
        <v>2.82</v>
      </c>
      <c r="O9" s="82">
        <v>2.0243055555555552E-2</v>
      </c>
      <c r="P9" s="86">
        <f>60*MINUTE(O9) + SECOND(O9)</f>
        <v>1749</v>
      </c>
      <c r="Q9" s="4" t="str" cm="1">
        <f t="array" ref="Q9">_xlfn.IFS(RawData[[#This Row],[Length (Sec)]]&lt;600, "Short", RawData[[#This Row],[Length (Sec)]]&lt;1200, "Mid", RawData[[#This Row],[Length (Sec)]]&gt;1199, "Long")</f>
        <v>Long</v>
      </c>
      <c r="R9" s="4" t="b">
        <f t="shared" ca="1" si="1"/>
        <v>0</v>
      </c>
      <c r="S9" s="4" t="b">
        <f t="shared" si="0"/>
        <v>1</v>
      </c>
      <c r="T9" s="4">
        <v>1</v>
      </c>
      <c r="U9" s="4"/>
      <c r="V9" s="4"/>
      <c r="W9" s="4">
        <v>1</v>
      </c>
      <c r="X9" s="4">
        <v>1</v>
      </c>
      <c r="Y9" s="4"/>
      <c r="Z9" s="4"/>
      <c r="AA9" s="4">
        <v>1</v>
      </c>
      <c r="AB9" s="4"/>
      <c r="AC9" s="4">
        <v>1</v>
      </c>
      <c r="AD9" s="4">
        <v>9.6</v>
      </c>
      <c r="AE9" s="4">
        <v>12.4</v>
      </c>
      <c r="AF9" s="4">
        <v>21.2</v>
      </c>
      <c r="AG9" s="4">
        <v>1</v>
      </c>
      <c r="AH9" s="4"/>
    </row>
    <row r="10" spans="1:34" ht="15" thickBot="1" x14ac:dyDescent="0.4">
      <c r="A10" s="1" t="s">
        <v>308</v>
      </c>
      <c r="B10" s="1" t="s">
        <v>35</v>
      </c>
      <c r="C10" s="10">
        <v>44113</v>
      </c>
      <c r="D10" s="14">
        <v>22367</v>
      </c>
      <c r="E10" s="18">
        <v>4.4649999999999999</v>
      </c>
      <c r="F10" s="14">
        <v>0</v>
      </c>
      <c r="G10" s="18">
        <v>2.4380000000000002</v>
      </c>
      <c r="H10" s="18">
        <v>5.58</v>
      </c>
      <c r="I10" s="14">
        <v>28916</v>
      </c>
      <c r="J10" s="14">
        <v>3241.6237999999998</v>
      </c>
      <c r="K10" s="2">
        <v>-30</v>
      </c>
      <c r="L10" s="18">
        <v>70.244</v>
      </c>
      <c r="M10" s="14">
        <v>1080304</v>
      </c>
      <c r="N10" s="4">
        <v>1.25</v>
      </c>
      <c r="O10" s="4"/>
      <c r="P10" s="79"/>
      <c r="Q10" s="4"/>
      <c r="R10" s="4" t="b">
        <f t="shared" ca="1" si="1"/>
        <v>0</v>
      </c>
      <c r="S10" s="4" t="b">
        <f t="shared" si="0"/>
        <v>1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</row>
    <row r="11" spans="1:34" ht="15" thickBot="1" x14ac:dyDescent="0.4">
      <c r="A11" s="1" t="s">
        <v>83</v>
      </c>
      <c r="B11" s="1" t="s">
        <v>18</v>
      </c>
      <c r="C11" s="10">
        <v>44112</v>
      </c>
      <c r="D11" s="14">
        <v>0</v>
      </c>
      <c r="E11" s="19"/>
      <c r="F11" s="14">
        <v>3770</v>
      </c>
      <c r="G11" s="18">
        <v>0</v>
      </c>
      <c r="H11" s="18">
        <v>30.65</v>
      </c>
      <c r="I11" s="14">
        <v>368991</v>
      </c>
      <c r="J11" s="14">
        <v>29949.291799999999</v>
      </c>
      <c r="K11" s="2">
        <v>4131</v>
      </c>
      <c r="L11" s="18">
        <v>0</v>
      </c>
      <c r="M11" s="14">
        <v>4394694</v>
      </c>
      <c r="N11" s="4">
        <v>5.1100000000000003</v>
      </c>
      <c r="O11" s="82">
        <v>1.1030092592592591E-2</v>
      </c>
      <c r="P11" s="86">
        <f>60*MINUTE(O11) + SECOND(O11)</f>
        <v>953</v>
      </c>
      <c r="Q11" s="4" t="str" cm="1">
        <f t="array" ref="Q11">_xlfn.IFS(RawData[[#This Row],[Length (Sec)]]&lt;600, "Short", RawData[[#This Row],[Length (Sec)]]&lt;1200, "Mid", RawData[[#This Row],[Length (Sec)]]&gt;1199, "Long")</f>
        <v>Mid</v>
      </c>
      <c r="R11" s="4" t="b">
        <f t="shared" ca="1" si="1"/>
        <v>0</v>
      </c>
      <c r="S11" s="4" t="b">
        <f t="shared" si="0"/>
        <v>1</v>
      </c>
      <c r="T11" s="4">
        <v>1</v>
      </c>
      <c r="U11" s="4"/>
      <c r="V11" s="4"/>
      <c r="W11" s="4">
        <v>1</v>
      </c>
      <c r="X11" s="4">
        <v>1</v>
      </c>
      <c r="Y11" s="4"/>
      <c r="Z11" s="4"/>
      <c r="AA11" s="4"/>
      <c r="AB11" s="4">
        <v>1</v>
      </c>
      <c r="AC11" s="4">
        <v>1</v>
      </c>
      <c r="AD11" s="4">
        <v>16.399999999999999</v>
      </c>
      <c r="AE11" s="4">
        <v>13.4</v>
      </c>
      <c r="AF11" s="4">
        <v>10.5</v>
      </c>
      <c r="AG11" s="4"/>
      <c r="AH11" s="4"/>
    </row>
    <row r="12" spans="1:34" ht="15" thickBot="1" x14ac:dyDescent="0.4">
      <c r="A12" s="1" t="s">
        <v>241</v>
      </c>
      <c r="B12" s="1" t="s">
        <v>35</v>
      </c>
      <c r="C12" s="10">
        <v>44111</v>
      </c>
      <c r="D12" s="14">
        <v>23689</v>
      </c>
      <c r="E12" s="18">
        <v>4.4669999999999996</v>
      </c>
      <c r="F12" s="14">
        <v>0</v>
      </c>
      <c r="G12" s="18">
        <v>2.3090000000000002</v>
      </c>
      <c r="H12" s="18">
        <v>11.33</v>
      </c>
      <c r="I12" s="14">
        <v>31556</v>
      </c>
      <c r="J12" s="14">
        <v>3675.8220999999999</v>
      </c>
      <c r="K12" s="2">
        <v>-55</v>
      </c>
      <c r="L12" s="18">
        <v>72.853999999999999</v>
      </c>
      <c r="M12" s="14">
        <v>931390</v>
      </c>
      <c r="N12" s="4">
        <v>1.75</v>
      </c>
      <c r="O12" s="4"/>
      <c r="P12" s="79"/>
      <c r="Q12" s="4"/>
      <c r="R12" s="4" t="b">
        <f t="shared" ca="1" si="1"/>
        <v>0</v>
      </c>
      <c r="S12" s="4" t="b">
        <f t="shared" si="0"/>
        <v>1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</row>
    <row r="13" spans="1:34" ht="15" thickBot="1" x14ac:dyDescent="0.4">
      <c r="A13" s="1" t="s">
        <v>142</v>
      </c>
      <c r="B13" s="1" t="s">
        <v>17</v>
      </c>
      <c r="C13" s="10">
        <v>44108</v>
      </c>
      <c r="D13" s="14">
        <v>151023</v>
      </c>
      <c r="E13" s="18">
        <v>4.7889999999999997</v>
      </c>
      <c r="F13" s="14">
        <v>731</v>
      </c>
      <c r="G13" s="18">
        <v>2.6160000000000001</v>
      </c>
      <c r="H13" s="18">
        <v>33.61</v>
      </c>
      <c r="I13" s="14">
        <v>181234</v>
      </c>
      <c r="J13" s="14">
        <v>22676.600699999999</v>
      </c>
      <c r="K13" s="2">
        <v>498</v>
      </c>
      <c r="L13" s="18">
        <v>472.20400000000001</v>
      </c>
      <c r="M13" s="14">
        <v>3409309</v>
      </c>
      <c r="N13" s="4">
        <v>3.37</v>
      </c>
      <c r="O13" s="82">
        <v>1.5509259259259257E-2</v>
      </c>
      <c r="P13" s="86">
        <f>60*MINUTE(O13) + SECOND(O13)</f>
        <v>1340</v>
      </c>
      <c r="Q13" s="4" t="str" cm="1">
        <f t="array" ref="Q13">_xlfn.IFS(RawData[[#This Row],[Length (Sec)]]&lt;600, "Short", RawData[[#This Row],[Length (Sec)]]&lt;1200, "Mid", RawData[[#This Row],[Length (Sec)]]&gt;1199, "Long")</f>
        <v>Long</v>
      </c>
      <c r="R13" s="4" t="b">
        <f t="shared" ca="1" si="1"/>
        <v>0</v>
      </c>
      <c r="S13" s="4" t="b">
        <f t="shared" si="0"/>
        <v>1</v>
      </c>
      <c r="T13" s="4">
        <v>1</v>
      </c>
      <c r="U13" s="4"/>
      <c r="V13" s="4">
        <v>1</v>
      </c>
      <c r="W13" s="4">
        <v>1</v>
      </c>
      <c r="X13" s="4">
        <v>1</v>
      </c>
      <c r="Y13" s="4"/>
      <c r="Z13" s="4"/>
      <c r="AA13" s="4"/>
      <c r="AB13" s="4"/>
      <c r="AC13" s="4">
        <v>1</v>
      </c>
      <c r="AD13" s="4">
        <v>13.8</v>
      </c>
      <c r="AE13" s="4">
        <v>12.9</v>
      </c>
      <c r="AF13" s="4">
        <v>15.9</v>
      </c>
      <c r="AG13" s="4"/>
      <c r="AH13" s="4"/>
    </row>
    <row r="14" spans="1:34" ht="15" thickBot="1" x14ac:dyDescent="0.4">
      <c r="A14" s="1" t="s">
        <v>92</v>
      </c>
      <c r="B14" s="1" t="s">
        <v>37</v>
      </c>
      <c r="C14" s="10">
        <v>44105</v>
      </c>
      <c r="D14" s="14">
        <v>147435</v>
      </c>
      <c r="E14" s="18">
        <v>3.8690000000000002</v>
      </c>
      <c r="F14" s="14">
        <v>3077</v>
      </c>
      <c r="G14" s="18">
        <v>2.069</v>
      </c>
      <c r="H14" s="18">
        <v>37.9</v>
      </c>
      <c r="I14" s="14">
        <v>186557</v>
      </c>
      <c r="J14" s="14">
        <v>14650.5265</v>
      </c>
      <c r="K14" s="2">
        <v>691</v>
      </c>
      <c r="L14" s="18">
        <v>383.42</v>
      </c>
      <c r="M14" s="14">
        <v>2643396</v>
      </c>
      <c r="N14" s="4">
        <v>4.5599999999999996</v>
      </c>
      <c r="O14" s="82">
        <v>8.6342592592592599E-3</v>
      </c>
      <c r="P14" s="86">
        <f>60*MINUTE(O14) + SECOND(O14)</f>
        <v>746</v>
      </c>
      <c r="Q14" s="4" t="str" cm="1">
        <f t="array" ref="Q14">_xlfn.IFS(RawData[[#This Row],[Length (Sec)]]&lt;600, "Short", RawData[[#This Row],[Length (Sec)]]&lt;1200, "Mid", RawData[[#This Row],[Length (Sec)]]&gt;1199, "Long")</f>
        <v>Mid</v>
      </c>
      <c r="R14" s="4" t="b">
        <f t="shared" ca="1" si="1"/>
        <v>0</v>
      </c>
      <c r="S14" s="4" t="b">
        <f t="shared" si="0"/>
        <v>1</v>
      </c>
      <c r="T14" s="4">
        <v>1</v>
      </c>
      <c r="U14" s="4">
        <v>1</v>
      </c>
      <c r="V14" s="4"/>
      <c r="W14" s="4">
        <v>1</v>
      </c>
      <c r="X14" s="4">
        <v>1</v>
      </c>
      <c r="Y14" s="4"/>
      <c r="Z14" s="4">
        <v>1</v>
      </c>
      <c r="AA14" s="4">
        <v>1</v>
      </c>
      <c r="AB14" s="4"/>
      <c r="AC14" s="4"/>
      <c r="AD14" s="4">
        <v>17.5</v>
      </c>
      <c r="AE14" s="4">
        <v>12.6</v>
      </c>
      <c r="AF14" s="4">
        <v>12.4</v>
      </c>
      <c r="AG14" s="4"/>
      <c r="AH14" s="4"/>
    </row>
    <row r="15" spans="1:34" ht="15" thickBot="1" x14ac:dyDescent="0.4">
      <c r="A15" s="1" t="s">
        <v>107</v>
      </c>
      <c r="B15" s="1" t="s">
        <v>36</v>
      </c>
      <c r="C15" s="10">
        <v>44103</v>
      </c>
      <c r="D15" s="14">
        <v>0</v>
      </c>
      <c r="E15" s="19"/>
      <c r="F15" s="14">
        <v>1919</v>
      </c>
      <c r="G15" s="18">
        <v>0</v>
      </c>
      <c r="H15" s="18">
        <v>39.56</v>
      </c>
      <c r="I15" s="14">
        <v>101720</v>
      </c>
      <c r="J15" s="14">
        <v>5813.4517999999998</v>
      </c>
      <c r="K15" s="2">
        <v>373</v>
      </c>
      <c r="L15" s="18">
        <v>0</v>
      </c>
      <c r="M15" s="14">
        <v>1655360</v>
      </c>
      <c r="N15" s="4">
        <v>3.59</v>
      </c>
      <c r="O15" s="82">
        <v>6.0185185185185177E-3</v>
      </c>
      <c r="P15" s="86">
        <f>60*MINUTE(O15) + SECOND(O15)</f>
        <v>520</v>
      </c>
      <c r="Q15" s="4" t="str" cm="1">
        <f t="array" ref="Q15">_xlfn.IFS(RawData[[#This Row],[Length (Sec)]]&lt;600, "Short", RawData[[#This Row],[Length (Sec)]]&lt;1200, "Mid", RawData[[#This Row],[Length (Sec)]]&gt;1199, "Long")</f>
        <v>Short</v>
      </c>
      <c r="R15" s="4" t="b">
        <f t="shared" ca="1" si="1"/>
        <v>0</v>
      </c>
      <c r="S15" s="4" t="b">
        <f t="shared" si="0"/>
        <v>1</v>
      </c>
      <c r="T15" s="4"/>
      <c r="U15" s="4"/>
      <c r="V15" s="4"/>
      <c r="W15" s="4"/>
      <c r="X15" s="4"/>
      <c r="Y15" s="4"/>
      <c r="Z15" s="4"/>
      <c r="AA15" s="4"/>
      <c r="AB15" s="4">
        <v>1</v>
      </c>
      <c r="AC15" s="4"/>
      <c r="AD15" s="4">
        <v>17.3</v>
      </c>
      <c r="AE15" s="4">
        <v>12.7</v>
      </c>
      <c r="AF15" s="4">
        <v>11.5</v>
      </c>
      <c r="AG15" s="4"/>
      <c r="AH15" s="4">
        <v>1</v>
      </c>
    </row>
    <row r="16" spans="1:34" ht="15" thickBot="1" x14ac:dyDescent="0.4">
      <c r="A16" s="1" t="s">
        <v>148</v>
      </c>
      <c r="B16" s="1" t="s">
        <v>17</v>
      </c>
      <c r="C16" s="10">
        <v>44101</v>
      </c>
      <c r="D16" s="14">
        <v>254756</v>
      </c>
      <c r="E16" s="18">
        <v>4.8010000000000002</v>
      </c>
      <c r="F16" s="14">
        <v>590</v>
      </c>
      <c r="G16" s="18">
        <v>3.3820000000000001</v>
      </c>
      <c r="H16" s="18">
        <v>42.51</v>
      </c>
      <c r="I16" s="14">
        <v>319779</v>
      </c>
      <c r="J16" s="14">
        <v>22771.722600000001</v>
      </c>
      <c r="K16" s="2">
        <v>947</v>
      </c>
      <c r="L16" s="18">
        <v>1079.3630000000001</v>
      </c>
      <c r="M16" s="14">
        <v>3772338</v>
      </c>
      <c r="N16" s="4">
        <v>5.56</v>
      </c>
      <c r="O16" s="82">
        <v>6.9791666666666674E-3</v>
      </c>
      <c r="P16" s="86">
        <f>60*MINUTE(O16) + SECOND(O16)</f>
        <v>603</v>
      </c>
      <c r="Q16" s="4" t="str" cm="1">
        <f t="array" ref="Q16">_xlfn.IFS(RawData[[#This Row],[Length (Sec)]]&lt;600, "Short", RawData[[#This Row],[Length (Sec)]]&lt;1200, "Mid", RawData[[#This Row],[Length (Sec)]]&gt;1199, "Long")</f>
        <v>Mid</v>
      </c>
      <c r="R16" s="4" t="b">
        <f t="shared" ca="1" si="1"/>
        <v>0</v>
      </c>
      <c r="S16" s="4" t="b">
        <f t="shared" si="0"/>
        <v>1</v>
      </c>
      <c r="T16" s="4">
        <v>1</v>
      </c>
      <c r="U16" s="4">
        <v>1</v>
      </c>
      <c r="V16" s="4"/>
      <c r="W16" s="4"/>
      <c r="X16" s="4">
        <v>1</v>
      </c>
      <c r="Y16" s="4"/>
      <c r="Z16" s="4"/>
      <c r="AA16" s="4"/>
      <c r="AB16" s="4"/>
      <c r="AC16" s="4"/>
      <c r="AD16" s="4">
        <v>16.399999999999999</v>
      </c>
      <c r="AE16" s="4">
        <v>14.5</v>
      </c>
      <c r="AF16" s="4">
        <v>17.7</v>
      </c>
      <c r="AG16" s="4"/>
      <c r="AH16" s="4"/>
    </row>
    <row r="17" spans="1:34" ht="15" thickBot="1" x14ac:dyDescent="0.4">
      <c r="A17" s="1" t="s">
        <v>278</v>
      </c>
      <c r="B17" s="1" t="s">
        <v>19</v>
      </c>
      <c r="C17" s="10">
        <v>44099</v>
      </c>
      <c r="D17" s="14">
        <v>0</v>
      </c>
      <c r="E17" s="19"/>
      <c r="F17" s="14">
        <v>0</v>
      </c>
      <c r="G17" s="18">
        <v>0</v>
      </c>
      <c r="H17" s="18">
        <v>27.87</v>
      </c>
      <c r="I17" s="14">
        <v>157163</v>
      </c>
      <c r="J17" s="14">
        <v>12446.6533</v>
      </c>
      <c r="K17" s="2">
        <v>664</v>
      </c>
      <c r="L17" s="18">
        <v>0</v>
      </c>
      <c r="M17" s="14">
        <v>2235003</v>
      </c>
      <c r="N17" s="4">
        <v>4.3</v>
      </c>
      <c r="O17" s="82">
        <v>1.1840277777777778E-2</v>
      </c>
      <c r="P17" s="86">
        <f>60*MINUTE(O17) + SECOND(O17)</f>
        <v>1023</v>
      </c>
      <c r="Q17" s="4" t="str" cm="1">
        <f t="array" ref="Q17">_xlfn.IFS(RawData[[#This Row],[Length (Sec)]]&lt;600, "Short", RawData[[#This Row],[Length (Sec)]]&lt;1200, "Mid", RawData[[#This Row],[Length (Sec)]]&gt;1199, "Long")</f>
        <v>Mid</v>
      </c>
      <c r="R17" s="4" t="b">
        <f t="shared" ca="1" si="1"/>
        <v>0</v>
      </c>
      <c r="S17" s="4" t="b">
        <f t="shared" si="0"/>
        <v>1</v>
      </c>
      <c r="T17" s="4">
        <v>1</v>
      </c>
      <c r="U17" s="4">
        <v>1</v>
      </c>
      <c r="V17" s="4"/>
      <c r="W17" s="4"/>
      <c r="X17" s="4">
        <v>1</v>
      </c>
      <c r="Y17" s="4"/>
      <c r="Z17" s="4"/>
      <c r="AA17" s="4">
        <v>1</v>
      </c>
      <c r="AB17" s="4"/>
      <c r="AC17" s="4"/>
      <c r="AD17" s="4">
        <v>14.4</v>
      </c>
      <c r="AE17" s="4">
        <v>15.2</v>
      </c>
      <c r="AF17" s="4">
        <v>13.6</v>
      </c>
      <c r="AG17" s="4"/>
      <c r="AH17" s="4"/>
    </row>
    <row r="18" spans="1:34" ht="26.5" thickBot="1" x14ac:dyDescent="0.4">
      <c r="A18" s="1" t="s">
        <v>274</v>
      </c>
      <c r="B18" s="1" t="s">
        <v>35</v>
      </c>
      <c r="C18" s="10">
        <v>44098</v>
      </c>
      <c r="D18" s="14">
        <v>23626</v>
      </c>
      <c r="E18" s="18">
        <v>7.1440000000000001</v>
      </c>
      <c r="F18" s="14">
        <v>0</v>
      </c>
      <c r="G18" s="18">
        <v>4.5490000000000004</v>
      </c>
      <c r="H18" s="18">
        <v>6.2</v>
      </c>
      <c r="I18" s="14">
        <v>31261</v>
      </c>
      <c r="J18" s="14">
        <v>4216.6531999999997</v>
      </c>
      <c r="K18" s="2">
        <v>-50</v>
      </c>
      <c r="L18" s="18">
        <v>142.136</v>
      </c>
      <c r="M18" s="14">
        <v>1171037</v>
      </c>
      <c r="N18" s="4">
        <v>1.34</v>
      </c>
      <c r="O18" s="4"/>
      <c r="P18" s="79"/>
      <c r="Q18" s="4"/>
      <c r="R18" s="4" t="b">
        <f t="shared" ca="1" si="1"/>
        <v>0</v>
      </c>
      <c r="S18" s="4" t="b">
        <f t="shared" si="0"/>
        <v>1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</row>
    <row r="19" spans="1:34" ht="15" thickBot="1" x14ac:dyDescent="0.4">
      <c r="A19" s="1" t="s">
        <v>78</v>
      </c>
      <c r="B19" s="1" t="s">
        <v>36</v>
      </c>
      <c r="C19" s="10">
        <v>44097</v>
      </c>
      <c r="D19" s="14">
        <v>0</v>
      </c>
      <c r="E19" s="19"/>
      <c r="F19" s="14">
        <v>4595</v>
      </c>
      <c r="G19" s="18">
        <v>0</v>
      </c>
      <c r="H19" s="18">
        <v>47.45</v>
      </c>
      <c r="I19" s="14">
        <v>186837</v>
      </c>
      <c r="J19" s="14">
        <v>9850.5671999999995</v>
      </c>
      <c r="K19" s="2">
        <v>1350</v>
      </c>
      <c r="L19" s="18">
        <v>0</v>
      </c>
      <c r="M19" s="14">
        <v>2420977</v>
      </c>
      <c r="N19" s="4">
        <v>4.7300000000000004</v>
      </c>
      <c r="O19" s="82">
        <v>4.6296296296296302E-3</v>
      </c>
      <c r="P19" s="86">
        <f>60*MINUTE(O19) + SECOND(O19)</f>
        <v>400</v>
      </c>
      <c r="Q19" s="4" t="str" cm="1">
        <f t="array" ref="Q19">_xlfn.IFS(RawData[[#This Row],[Length (Sec)]]&lt;600, "Short", RawData[[#This Row],[Length (Sec)]]&lt;1200, "Mid", RawData[[#This Row],[Length (Sec)]]&gt;1199, "Long")</f>
        <v>Short</v>
      </c>
      <c r="R19" s="4" t="b">
        <f t="shared" ca="1" si="1"/>
        <v>0</v>
      </c>
      <c r="S19" s="4" t="b">
        <f t="shared" si="0"/>
        <v>1</v>
      </c>
      <c r="T19" s="4">
        <v>1</v>
      </c>
      <c r="U19" s="4"/>
      <c r="V19" s="4"/>
      <c r="W19" s="4">
        <v>1</v>
      </c>
      <c r="X19" s="4">
        <v>1</v>
      </c>
      <c r="Y19" s="4"/>
      <c r="Z19" s="4"/>
      <c r="AA19" s="4"/>
      <c r="AB19" s="4">
        <v>1</v>
      </c>
      <c r="AC19" s="4">
        <v>1</v>
      </c>
      <c r="AD19" s="4">
        <v>13.5</v>
      </c>
      <c r="AE19" s="4">
        <v>14.9</v>
      </c>
      <c r="AF19" s="4">
        <v>14.4</v>
      </c>
      <c r="AG19" s="4"/>
      <c r="AH19" s="4"/>
    </row>
    <row r="20" spans="1:34" ht="15" thickBot="1" x14ac:dyDescent="0.4">
      <c r="A20" s="1" t="s">
        <v>335</v>
      </c>
      <c r="B20" s="45"/>
      <c r="C20" s="10">
        <v>44095</v>
      </c>
      <c r="D20" s="14">
        <v>64527</v>
      </c>
      <c r="E20" s="18">
        <v>5.2380000000000004</v>
      </c>
      <c r="F20" s="14">
        <v>0</v>
      </c>
      <c r="G20" s="18">
        <v>2.81</v>
      </c>
      <c r="H20" s="18">
        <v>2.2400000000000002</v>
      </c>
      <c r="I20" s="14">
        <v>91058</v>
      </c>
      <c r="J20" s="14">
        <v>4847.9423999999999</v>
      </c>
      <c r="K20" s="2">
        <v>85</v>
      </c>
      <c r="L20" s="18">
        <v>255.352</v>
      </c>
      <c r="M20" s="14">
        <v>1229342</v>
      </c>
      <c r="N20" s="4">
        <v>4.92</v>
      </c>
      <c r="O20" s="82"/>
      <c r="P20" s="86"/>
      <c r="Q20" s="4"/>
      <c r="R20" s="4" t="b">
        <f t="shared" ca="1" si="1"/>
        <v>0</v>
      </c>
      <c r="S20" s="4" t="b">
        <f t="shared" si="0"/>
        <v>1</v>
      </c>
      <c r="T20" s="4">
        <v>1</v>
      </c>
      <c r="U20" s="4"/>
      <c r="V20" s="4">
        <v>1</v>
      </c>
      <c r="W20" s="4"/>
      <c r="X20" s="4"/>
      <c r="Y20" s="4"/>
      <c r="Z20" s="4"/>
      <c r="AA20" s="4">
        <v>1</v>
      </c>
      <c r="AB20" s="4"/>
      <c r="AC20" s="4">
        <v>1</v>
      </c>
      <c r="AD20" s="4"/>
      <c r="AE20" s="4"/>
      <c r="AF20" s="4"/>
      <c r="AG20" s="4"/>
      <c r="AH20" s="4"/>
    </row>
    <row r="21" spans="1:34" ht="15" thickBot="1" x14ac:dyDescent="0.4">
      <c r="A21" s="1" t="s">
        <v>237</v>
      </c>
      <c r="B21" s="1" t="s">
        <v>35</v>
      </c>
      <c r="C21" s="10">
        <v>44092</v>
      </c>
      <c r="D21" s="14">
        <v>16985</v>
      </c>
      <c r="E21" s="18">
        <v>4.9960000000000004</v>
      </c>
      <c r="F21" s="14">
        <v>0</v>
      </c>
      <c r="G21" s="18">
        <v>2.552</v>
      </c>
      <c r="H21" s="18">
        <v>6.05</v>
      </c>
      <c r="I21" s="14">
        <v>24217</v>
      </c>
      <c r="J21" s="14">
        <v>2722.4011999999998</v>
      </c>
      <c r="K21" s="2">
        <v>-47</v>
      </c>
      <c r="L21" s="18">
        <v>61.777999999999999</v>
      </c>
      <c r="M21" s="14">
        <v>973853</v>
      </c>
      <c r="N21" s="4">
        <v>1.29</v>
      </c>
      <c r="O21" s="4"/>
      <c r="P21" s="79"/>
      <c r="Q21" s="4"/>
      <c r="R21" s="4" t="b">
        <f t="shared" ca="1" si="1"/>
        <v>0</v>
      </c>
      <c r="S21" s="4" t="b">
        <f t="shared" si="0"/>
        <v>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</row>
    <row r="22" spans="1:34" ht="15" thickBot="1" x14ac:dyDescent="0.4">
      <c r="A22" s="1" t="s">
        <v>70</v>
      </c>
      <c r="B22" s="1" t="s">
        <v>37</v>
      </c>
      <c r="C22" s="10">
        <v>44092</v>
      </c>
      <c r="D22" s="14">
        <v>0</v>
      </c>
      <c r="E22" s="19"/>
      <c r="F22" s="14">
        <v>6610</v>
      </c>
      <c r="G22" s="18">
        <v>0</v>
      </c>
      <c r="H22" s="18">
        <v>34.4</v>
      </c>
      <c r="I22" s="14">
        <v>353128</v>
      </c>
      <c r="J22" s="14">
        <v>22813.696800000002</v>
      </c>
      <c r="K22" s="2">
        <v>2771</v>
      </c>
      <c r="L22" s="18">
        <v>0</v>
      </c>
      <c r="M22" s="14">
        <v>3641720</v>
      </c>
      <c r="N22" s="4">
        <v>6.26</v>
      </c>
      <c r="O22" s="82">
        <v>7.8240740740740753E-3</v>
      </c>
      <c r="P22" s="86">
        <f>60*MINUTE(O22) + SECOND(O22)</f>
        <v>676</v>
      </c>
      <c r="Q22" s="4" t="str" cm="1">
        <f t="array" ref="Q22">_xlfn.IFS(RawData[[#This Row],[Length (Sec)]]&lt;600, "Short", RawData[[#This Row],[Length (Sec)]]&lt;1200, "Mid", RawData[[#This Row],[Length (Sec)]]&gt;1199, "Long")</f>
        <v>Mid</v>
      </c>
      <c r="R22" s="4" t="b">
        <f t="shared" ca="1" si="1"/>
        <v>0</v>
      </c>
      <c r="S22" s="4" t="b">
        <f t="shared" si="0"/>
        <v>1</v>
      </c>
      <c r="T22" s="4">
        <v>1</v>
      </c>
      <c r="U22" s="4">
        <v>1</v>
      </c>
      <c r="V22" s="4"/>
      <c r="W22" s="4">
        <v>1</v>
      </c>
      <c r="X22" s="4">
        <v>1</v>
      </c>
      <c r="Y22" s="4"/>
      <c r="Z22" s="4"/>
      <c r="AA22" s="4">
        <v>1</v>
      </c>
      <c r="AB22" s="4"/>
      <c r="AC22" s="4"/>
      <c r="AD22" s="4">
        <v>17.8</v>
      </c>
      <c r="AE22" s="4">
        <v>15</v>
      </c>
      <c r="AF22" s="4">
        <v>10.8</v>
      </c>
      <c r="AG22" s="4"/>
      <c r="AH22" s="4"/>
    </row>
    <row r="23" spans="1:34" ht="15" thickBot="1" x14ac:dyDescent="0.4">
      <c r="A23" s="1" t="s">
        <v>360</v>
      </c>
      <c r="B23" s="1" t="s">
        <v>35</v>
      </c>
      <c r="C23" s="10">
        <v>44090</v>
      </c>
      <c r="D23" s="14">
        <v>28440</v>
      </c>
      <c r="E23" s="18">
        <v>5.8609999999999998</v>
      </c>
      <c r="F23" s="14">
        <v>0</v>
      </c>
      <c r="G23" s="18">
        <v>3.2690000000000001</v>
      </c>
      <c r="H23" s="18">
        <v>6.7</v>
      </c>
      <c r="I23" s="14">
        <v>40201</v>
      </c>
      <c r="J23" s="14">
        <v>5742.2920000000004</v>
      </c>
      <c r="K23" s="2">
        <v>-35</v>
      </c>
      <c r="L23" s="18">
        <v>131.34299999999999</v>
      </c>
      <c r="M23" s="14">
        <v>1571419</v>
      </c>
      <c r="N23" s="4">
        <v>1.31</v>
      </c>
      <c r="O23" s="4"/>
      <c r="P23" s="79"/>
      <c r="Q23" s="4"/>
      <c r="R23" s="4" t="b">
        <f t="shared" ca="1" si="1"/>
        <v>0</v>
      </c>
      <c r="S23" s="4" t="b">
        <f t="shared" si="0"/>
        <v>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</row>
    <row r="24" spans="1:34" ht="15" thickBot="1" x14ac:dyDescent="0.4">
      <c r="A24" s="1" t="s">
        <v>368</v>
      </c>
      <c r="B24" s="1" t="s">
        <v>35</v>
      </c>
      <c r="C24" s="10">
        <v>44083</v>
      </c>
      <c r="D24" s="14">
        <v>23272</v>
      </c>
      <c r="E24" s="18">
        <v>5.266</v>
      </c>
      <c r="F24" s="14">
        <v>0</v>
      </c>
      <c r="G24" s="18">
        <v>3.4820000000000002</v>
      </c>
      <c r="H24" s="18">
        <v>7.56</v>
      </c>
      <c r="I24" s="14">
        <v>31039</v>
      </c>
      <c r="J24" s="14">
        <v>4007.5614</v>
      </c>
      <c r="K24" s="2">
        <v>-89</v>
      </c>
      <c r="L24" s="18">
        <v>108.072</v>
      </c>
      <c r="M24" s="14">
        <v>1408215</v>
      </c>
      <c r="N24" s="4">
        <v>1.26</v>
      </c>
      <c r="O24" s="4"/>
      <c r="P24" s="79"/>
      <c r="Q24" s="4"/>
      <c r="R24" s="4" t="b">
        <f t="shared" ca="1" si="1"/>
        <v>0</v>
      </c>
      <c r="S24" s="4" t="b">
        <f t="shared" si="0"/>
        <v>1</v>
      </c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</row>
    <row r="25" spans="1:34" ht="15" thickBot="1" x14ac:dyDescent="0.4">
      <c r="A25" s="1" t="s">
        <v>77</v>
      </c>
      <c r="B25" s="1" t="s">
        <v>17</v>
      </c>
      <c r="C25" s="10">
        <v>44083</v>
      </c>
      <c r="D25" s="14">
        <v>0</v>
      </c>
      <c r="E25" s="19"/>
      <c r="F25" s="14">
        <v>4625</v>
      </c>
      <c r="G25" s="18">
        <v>0</v>
      </c>
      <c r="H25" s="18">
        <v>39</v>
      </c>
      <c r="I25" s="14">
        <v>238562</v>
      </c>
      <c r="J25" s="14">
        <v>20909.1378</v>
      </c>
      <c r="K25" s="2">
        <v>1301</v>
      </c>
      <c r="L25" s="18">
        <v>0</v>
      </c>
      <c r="M25" s="14">
        <v>3701705</v>
      </c>
      <c r="N25" s="4">
        <v>4.47</v>
      </c>
      <c r="O25" s="82">
        <v>9.3634259259259261E-3</v>
      </c>
      <c r="P25" s="86">
        <f>60*MINUTE(O25) + SECOND(O25)</f>
        <v>809</v>
      </c>
      <c r="Q25" s="4" t="str" cm="1">
        <f t="array" ref="Q25">_xlfn.IFS(RawData[[#This Row],[Length (Sec)]]&lt;600, "Short", RawData[[#This Row],[Length (Sec)]]&lt;1200, "Mid", RawData[[#This Row],[Length (Sec)]]&gt;1199, "Long")</f>
        <v>Mid</v>
      </c>
      <c r="R25" s="4" t="b">
        <f t="shared" ca="1" si="1"/>
        <v>0</v>
      </c>
      <c r="S25" s="4" t="b">
        <f t="shared" si="0"/>
        <v>1</v>
      </c>
      <c r="T25" s="4">
        <v>1</v>
      </c>
      <c r="U25" s="4"/>
      <c r="V25" s="4"/>
      <c r="W25" s="4">
        <v>1</v>
      </c>
      <c r="X25" s="4"/>
      <c r="Y25" s="4"/>
      <c r="Z25" s="4"/>
      <c r="AA25" s="4">
        <v>1</v>
      </c>
      <c r="AB25" s="4"/>
      <c r="AC25" s="4">
        <v>1</v>
      </c>
      <c r="AD25" s="4">
        <v>14.2</v>
      </c>
      <c r="AE25" s="4">
        <v>13.5</v>
      </c>
      <c r="AF25" s="4">
        <v>18.2</v>
      </c>
      <c r="AG25" s="4">
        <v>1</v>
      </c>
      <c r="AH25" s="4"/>
    </row>
    <row r="26" spans="1:34" ht="15" thickBot="1" x14ac:dyDescent="0.4">
      <c r="A26" s="1" t="s">
        <v>411</v>
      </c>
      <c r="B26" s="45"/>
      <c r="C26" s="10">
        <v>44082</v>
      </c>
      <c r="D26" s="14">
        <v>0</v>
      </c>
      <c r="E26" s="19"/>
      <c r="F26" s="14">
        <v>0</v>
      </c>
      <c r="G26" s="18">
        <v>0</v>
      </c>
      <c r="H26" s="18">
        <v>3.09</v>
      </c>
      <c r="I26" s="14">
        <v>46929</v>
      </c>
      <c r="J26" s="14">
        <v>2263.5225</v>
      </c>
      <c r="K26" s="2">
        <v>-18</v>
      </c>
      <c r="L26" s="18">
        <v>0</v>
      </c>
      <c r="M26" s="14">
        <v>448782</v>
      </c>
      <c r="N26" s="4">
        <v>6.96</v>
      </c>
      <c r="O26" s="82"/>
      <c r="P26" s="86"/>
      <c r="Q26" s="4"/>
      <c r="R26" s="4" t="b">
        <f t="shared" ca="1" si="1"/>
        <v>0</v>
      </c>
      <c r="S26" s="4" t="b">
        <f t="shared" si="0"/>
        <v>1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</row>
    <row r="27" spans="1:34" ht="15" thickBot="1" x14ac:dyDescent="0.4">
      <c r="A27" s="1" t="s">
        <v>248</v>
      </c>
      <c r="B27" s="1" t="s">
        <v>35</v>
      </c>
      <c r="C27" s="10">
        <v>44081</v>
      </c>
      <c r="D27" s="14">
        <v>22400</v>
      </c>
      <c r="E27" s="18">
        <v>4.3049999999999997</v>
      </c>
      <c r="F27" s="14">
        <v>0</v>
      </c>
      <c r="G27" s="18">
        <v>2.23</v>
      </c>
      <c r="H27" s="18">
        <v>8.14</v>
      </c>
      <c r="I27" s="14">
        <v>30815</v>
      </c>
      <c r="J27" s="14">
        <v>3719.3476999999998</v>
      </c>
      <c r="K27" s="2">
        <v>-34</v>
      </c>
      <c r="L27" s="18">
        <v>68.694999999999993</v>
      </c>
      <c r="M27" s="14">
        <v>1606952</v>
      </c>
      <c r="N27" s="4">
        <v>1.1000000000000001</v>
      </c>
      <c r="O27" s="4"/>
      <c r="P27" s="79"/>
      <c r="Q27" s="4"/>
      <c r="R27" s="4" t="b">
        <f t="shared" ca="1" si="1"/>
        <v>0</v>
      </c>
      <c r="S27" s="4" t="b">
        <f t="shared" si="0"/>
        <v>1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</row>
    <row r="28" spans="1:34" ht="15" thickBot="1" x14ac:dyDescent="0.4">
      <c r="A28" s="1" t="s">
        <v>374</v>
      </c>
      <c r="B28" s="1" t="s">
        <v>35</v>
      </c>
      <c r="C28" s="10">
        <v>44080</v>
      </c>
      <c r="D28" s="14">
        <v>30926</v>
      </c>
      <c r="E28" s="18">
        <v>3.274</v>
      </c>
      <c r="F28" s="14">
        <v>0</v>
      </c>
      <c r="G28" s="18">
        <v>1.56</v>
      </c>
      <c r="H28" s="18">
        <v>7.11</v>
      </c>
      <c r="I28" s="14">
        <v>45031</v>
      </c>
      <c r="J28" s="14">
        <v>6361.0736999999999</v>
      </c>
      <c r="K28" s="2">
        <v>-107</v>
      </c>
      <c r="L28" s="18">
        <v>70.259</v>
      </c>
      <c r="M28" s="14">
        <v>1737048</v>
      </c>
      <c r="N28" s="4">
        <v>1.48</v>
      </c>
      <c r="O28" s="4"/>
      <c r="P28" s="79"/>
      <c r="Q28" s="4"/>
      <c r="R28" s="4" t="b">
        <f t="shared" ca="1" si="1"/>
        <v>0</v>
      </c>
      <c r="S28" s="4" t="b">
        <f t="shared" si="0"/>
        <v>1</v>
      </c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</row>
    <row r="29" spans="1:34" ht="15" thickBot="1" x14ac:dyDescent="0.4">
      <c r="A29" s="1" t="s">
        <v>201</v>
      </c>
      <c r="B29" s="1" t="s">
        <v>17</v>
      </c>
      <c r="C29" s="10">
        <v>44075</v>
      </c>
      <c r="D29" s="14">
        <v>3076</v>
      </c>
      <c r="E29" s="18">
        <v>5.4269999999999996</v>
      </c>
      <c r="F29" s="14">
        <v>100</v>
      </c>
      <c r="G29" s="18">
        <v>7.0999999999999994E-2</v>
      </c>
      <c r="H29" s="18">
        <v>24.86</v>
      </c>
      <c r="I29" s="14">
        <v>155895</v>
      </c>
      <c r="J29" s="14">
        <v>10184.971100000001</v>
      </c>
      <c r="K29" s="2">
        <v>1117</v>
      </c>
      <c r="L29" s="18">
        <v>11.087</v>
      </c>
      <c r="M29" s="14">
        <v>2485531</v>
      </c>
      <c r="N29" s="4">
        <v>4.5599999999999996</v>
      </c>
      <c r="O29" s="82">
        <v>1.0949074074074075E-2</v>
      </c>
      <c r="P29" s="86">
        <f>60*MINUTE(O29) + SECOND(O29)</f>
        <v>946</v>
      </c>
      <c r="Q29" s="4" t="str" cm="1">
        <f t="array" ref="Q29">_xlfn.IFS(RawData[[#This Row],[Length (Sec)]]&lt;600, "Short", RawData[[#This Row],[Length (Sec)]]&lt;1200, "Mid", RawData[[#This Row],[Length (Sec)]]&gt;1199, "Long")</f>
        <v>Mid</v>
      </c>
      <c r="R29" s="4" t="b">
        <f t="shared" ca="1" si="1"/>
        <v>0</v>
      </c>
      <c r="S29" s="4" t="b">
        <f t="shared" si="0"/>
        <v>1</v>
      </c>
      <c r="T29" s="4">
        <v>1</v>
      </c>
      <c r="U29" s="4">
        <v>1</v>
      </c>
      <c r="V29" s="4"/>
      <c r="W29" s="4"/>
      <c r="X29" s="4">
        <v>1</v>
      </c>
      <c r="Y29" s="4"/>
      <c r="Z29" s="4"/>
      <c r="AA29" s="4">
        <v>1</v>
      </c>
      <c r="AB29" s="4"/>
      <c r="AC29" s="4"/>
      <c r="AD29" s="4">
        <v>13.8</v>
      </c>
      <c r="AE29" s="4">
        <v>12.7</v>
      </c>
      <c r="AF29" s="4">
        <v>18.8</v>
      </c>
      <c r="AG29" s="4">
        <v>1</v>
      </c>
      <c r="AH29" s="4"/>
    </row>
    <row r="30" spans="1:34" ht="15" thickBot="1" x14ac:dyDescent="0.4">
      <c r="A30" s="1" t="s">
        <v>138</v>
      </c>
      <c r="B30" s="1" t="s">
        <v>36</v>
      </c>
      <c r="C30" s="10">
        <v>44068</v>
      </c>
      <c r="D30" s="14">
        <v>14628</v>
      </c>
      <c r="E30" s="18">
        <v>6.4779999999999998</v>
      </c>
      <c r="F30" s="14">
        <v>961</v>
      </c>
      <c r="G30" s="18">
        <v>0.41</v>
      </c>
      <c r="H30" s="18">
        <v>32.51</v>
      </c>
      <c r="I30" s="14">
        <v>185399</v>
      </c>
      <c r="J30" s="14">
        <v>13460.332700000001</v>
      </c>
      <c r="K30" s="2">
        <v>1507</v>
      </c>
      <c r="L30" s="18">
        <v>75.977999999999994</v>
      </c>
      <c r="M30" s="14">
        <v>2975280</v>
      </c>
      <c r="N30" s="4">
        <v>4.0999999999999996</v>
      </c>
      <c r="O30" s="82">
        <v>9.3055555555555548E-3</v>
      </c>
      <c r="P30" s="86">
        <f>60*MINUTE(O30) + SECOND(O30)</f>
        <v>804</v>
      </c>
      <c r="Q30" s="4" t="str" cm="1">
        <f t="array" ref="Q30">_xlfn.IFS(RawData[[#This Row],[Length (Sec)]]&lt;600, "Short", RawData[[#This Row],[Length (Sec)]]&lt;1200, "Mid", RawData[[#This Row],[Length (Sec)]]&gt;1199, "Long")</f>
        <v>Mid</v>
      </c>
      <c r="R30" s="4" t="b">
        <f t="shared" ca="1" si="1"/>
        <v>0</v>
      </c>
      <c r="S30" s="4" t="b">
        <f t="shared" si="0"/>
        <v>1</v>
      </c>
      <c r="T30" s="4"/>
      <c r="U30" s="4"/>
      <c r="V30" s="4"/>
      <c r="W30" s="4"/>
      <c r="X30" s="4"/>
      <c r="Y30" s="4"/>
      <c r="Z30" s="4"/>
      <c r="AA30" s="4"/>
      <c r="AB30" s="4">
        <v>1</v>
      </c>
      <c r="AC30" s="4"/>
      <c r="AD30" s="4">
        <v>16.899999999999999</v>
      </c>
      <c r="AE30" s="4">
        <v>13.4</v>
      </c>
      <c r="AF30" s="4">
        <v>9.6999999999999993</v>
      </c>
      <c r="AG30" s="4"/>
      <c r="AH30" s="4">
        <v>1</v>
      </c>
    </row>
    <row r="31" spans="1:34" ht="15" thickBot="1" x14ac:dyDescent="0.4">
      <c r="A31" s="1" t="s">
        <v>96</v>
      </c>
      <c r="B31" s="1" t="s">
        <v>37</v>
      </c>
      <c r="C31" s="10">
        <v>44066</v>
      </c>
      <c r="D31" s="14">
        <v>189908</v>
      </c>
      <c r="E31" s="18">
        <v>4.4969999999999999</v>
      </c>
      <c r="F31" s="14">
        <v>2591</v>
      </c>
      <c r="G31" s="18">
        <v>2.1230000000000002</v>
      </c>
      <c r="H31" s="18">
        <v>32.32</v>
      </c>
      <c r="I31" s="14">
        <v>257461</v>
      </c>
      <c r="J31" s="14">
        <v>16340.848099999999</v>
      </c>
      <c r="K31" s="2">
        <v>1465</v>
      </c>
      <c r="L31" s="18">
        <v>544.93799999999999</v>
      </c>
      <c r="M31" s="14">
        <v>3378734</v>
      </c>
      <c r="N31" s="4">
        <v>5.39</v>
      </c>
      <c r="O31" s="82">
        <v>8.1828703703703699E-3</v>
      </c>
      <c r="P31" s="86">
        <f>60*MINUTE(O31) + SECOND(O31)</f>
        <v>707</v>
      </c>
      <c r="Q31" s="4" t="str" cm="1">
        <f t="array" ref="Q31">_xlfn.IFS(RawData[[#This Row],[Length (Sec)]]&lt;600, "Short", RawData[[#This Row],[Length (Sec)]]&lt;1200, "Mid", RawData[[#This Row],[Length (Sec)]]&gt;1199, "Long")</f>
        <v>Mid</v>
      </c>
      <c r="R31" s="4" t="b">
        <f t="shared" ca="1" si="1"/>
        <v>0</v>
      </c>
      <c r="S31" s="4" t="b">
        <f t="shared" si="0"/>
        <v>1</v>
      </c>
      <c r="T31" s="4">
        <v>1</v>
      </c>
      <c r="U31" s="4"/>
      <c r="V31" s="4"/>
      <c r="W31" s="4"/>
      <c r="X31" s="4">
        <v>1</v>
      </c>
      <c r="Y31" s="4"/>
      <c r="Z31" s="4"/>
      <c r="AA31" s="4">
        <v>1</v>
      </c>
      <c r="AB31" s="4"/>
      <c r="AC31" s="4">
        <v>1</v>
      </c>
      <c r="AD31" s="4">
        <v>12</v>
      </c>
      <c r="AE31" s="4">
        <v>18.5</v>
      </c>
      <c r="AF31" s="4">
        <v>11.2</v>
      </c>
      <c r="AG31" s="4"/>
      <c r="AH31" s="4"/>
    </row>
    <row r="32" spans="1:34" ht="15" thickBot="1" x14ac:dyDescent="0.4">
      <c r="A32" s="1" t="s">
        <v>97</v>
      </c>
      <c r="B32" s="1" t="s">
        <v>19</v>
      </c>
      <c r="C32" s="10">
        <v>44063</v>
      </c>
      <c r="D32" s="14">
        <v>272967</v>
      </c>
      <c r="E32" s="18">
        <v>5.22</v>
      </c>
      <c r="F32" s="14">
        <v>2430</v>
      </c>
      <c r="G32" s="18">
        <v>2.6720000000000002</v>
      </c>
      <c r="H32" s="18">
        <v>31.85</v>
      </c>
      <c r="I32" s="14">
        <v>339088</v>
      </c>
      <c r="J32" s="14">
        <v>28111.454399999999</v>
      </c>
      <c r="K32" s="2">
        <v>3615</v>
      </c>
      <c r="L32" s="18">
        <v>902.97699999999998</v>
      </c>
      <c r="M32" s="14">
        <v>4636091</v>
      </c>
      <c r="N32" s="4">
        <v>4.59</v>
      </c>
      <c r="O32" s="82">
        <v>1.0844907407407407E-2</v>
      </c>
      <c r="P32" s="86">
        <f>60*MINUTE(O32) + SECOND(O32)</f>
        <v>937</v>
      </c>
      <c r="Q32" s="4" t="str" cm="1">
        <f t="array" ref="Q32">_xlfn.IFS(RawData[[#This Row],[Length (Sec)]]&lt;600, "Short", RawData[[#This Row],[Length (Sec)]]&lt;1200, "Mid", RawData[[#This Row],[Length (Sec)]]&gt;1199, "Long")</f>
        <v>Mid</v>
      </c>
      <c r="R32" s="4" t="b">
        <f t="shared" ca="1" si="1"/>
        <v>0</v>
      </c>
      <c r="S32" s="4" t="b">
        <f t="shared" si="0"/>
        <v>1</v>
      </c>
      <c r="T32" s="4">
        <v>1</v>
      </c>
      <c r="U32" s="4"/>
      <c r="V32" s="4">
        <v>1</v>
      </c>
      <c r="W32" s="4"/>
      <c r="X32" s="4"/>
      <c r="Y32" s="4"/>
      <c r="Z32" s="4"/>
      <c r="AA32" s="4">
        <v>1</v>
      </c>
      <c r="AB32" s="4"/>
      <c r="AC32" s="4">
        <v>1</v>
      </c>
      <c r="AD32" s="4">
        <v>13.7</v>
      </c>
      <c r="AE32" s="4">
        <v>17.8</v>
      </c>
      <c r="AF32" s="4">
        <v>10.1</v>
      </c>
      <c r="AG32" s="4">
        <v>1</v>
      </c>
      <c r="AH32" s="4"/>
    </row>
    <row r="33" spans="1:34" ht="15" thickBot="1" x14ac:dyDescent="0.4">
      <c r="A33" s="1" t="s">
        <v>230</v>
      </c>
      <c r="B33" s="1" t="s">
        <v>35</v>
      </c>
      <c r="C33" s="10">
        <v>44062</v>
      </c>
      <c r="D33" s="14">
        <v>54664</v>
      </c>
      <c r="E33" s="18">
        <v>5.9640000000000004</v>
      </c>
      <c r="F33" s="14">
        <v>0</v>
      </c>
      <c r="G33" s="18">
        <v>3.1120000000000001</v>
      </c>
      <c r="H33" s="18">
        <v>10.15</v>
      </c>
      <c r="I33" s="14">
        <v>84448</v>
      </c>
      <c r="J33" s="14">
        <v>15185.124400000001</v>
      </c>
      <c r="K33" s="2">
        <v>252</v>
      </c>
      <c r="L33" s="18">
        <v>262.75299999999999</v>
      </c>
      <c r="M33" s="14">
        <v>2911045</v>
      </c>
      <c r="N33" s="4">
        <v>1.59</v>
      </c>
      <c r="O33" s="4"/>
      <c r="P33" s="79"/>
      <c r="Q33" s="4"/>
      <c r="R33" s="4" t="b">
        <f t="shared" ca="1" si="1"/>
        <v>0</v>
      </c>
      <c r="S33" s="4" t="b">
        <f t="shared" si="0"/>
        <v>1</v>
      </c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</row>
    <row r="34" spans="1:34" ht="15" thickBot="1" x14ac:dyDescent="0.4">
      <c r="A34" s="1" t="s">
        <v>81</v>
      </c>
      <c r="B34" s="1" t="s">
        <v>19</v>
      </c>
      <c r="C34" s="10">
        <v>44061</v>
      </c>
      <c r="D34" s="14">
        <v>766475</v>
      </c>
      <c r="E34" s="18">
        <v>4.5010000000000003</v>
      </c>
      <c r="F34" s="14">
        <v>3886</v>
      </c>
      <c r="G34" s="18">
        <v>0.90200000000000002</v>
      </c>
      <c r="H34" s="18">
        <v>23.34</v>
      </c>
      <c r="I34" s="14">
        <v>3064134</v>
      </c>
      <c r="J34" s="14">
        <v>185417.22579999999</v>
      </c>
      <c r="K34" s="2">
        <v>37946</v>
      </c>
      <c r="L34" s="18">
        <v>2754.5639999999999</v>
      </c>
      <c r="M34" s="14">
        <v>37218061</v>
      </c>
      <c r="N34" s="4">
        <v>5.62</v>
      </c>
      <c r="O34" s="82">
        <v>1.0798611111111111E-2</v>
      </c>
      <c r="P34" s="86">
        <f>60*MINUTE(O34) + SECOND(O34)</f>
        <v>933</v>
      </c>
      <c r="Q34" s="4"/>
      <c r="R34" s="4" t="b">
        <f t="shared" ca="1" si="1"/>
        <v>0</v>
      </c>
      <c r="S34" s="4" t="b">
        <f t="shared" si="0"/>
        <v>1</v>
      </c>
      <c r="T34" s="4"/>
      <c r="U34" s="4"/>
      <c r="V34" s="4"/>
      <c r="W34" s="4"/>
      <c r="X34" s="4"/>
      <c r="Y34" s="4"/>
      <c r="Z34" s="4"/>
      <c r="AA34" s="4"/>
      <c r="AB34" s="4"/>
      <c r="AC34" s="4"/>
      <c r="AD34" s="4">
        <v>16.399999999999999</v>
      </c>
      <c r="AE34" s="4">
        <v>26.1</v>
      </c>
      <c r="AF34" s="4">
        <v>6.5</v>
      </c>
      <c r="AG34" s="4"/>
      <c r="AH34" s="4"/>
    </row>
    <row r="35" spans="1:34" ht="15" thickBot="1" x14ac:dyDescent="0.4">
      <c r="A35" s="1" t="s">
        <v>429</v>
      </c>
      <c r="B35" s="1"/>
      <c r="C35" s="10">
        <v>44054</v>
      </c>
      <c r="D35" s="14">
        <v>0</v>
      </c>
      <c r="E35" s="19"/>
      <c r="F35" s="14">
        <v>0</v>
      </c>
      <c r="G35" s="19"/>
      <c r="H35" s="19"/>
      <c r="I35" s="14">
        <v>0</v>
      </c>
      <c r="J35" s="14">
        <v>0</v>
      </c>
      <c r="K35" s="2">
        <v>0</v>
      </c>
      <c r="L35" s="18">
        <v>0</v>
      </c>
      <c r="M35" s="14">
        <v>0</v>
      </c>
      <c r="N35" s="3"/>
      <c r="O35" s="82"/>
      <c r="P35" s="86"/>
      <c r="Q35" s="4"/>
      <c r="R35" s="4" t="b">
        <f t="shared" ca="1" si="1"/>
        <v>0</v>
      </c>
      <c r="S35" s="4" t="b">
        <f t="shared" si="0"/>
        <v>0</v>
      </c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1:34" ht="15" thickBot="1" x14ac:dyDescent="0.4">
      <c r="A36" s="1" t="s">
        <v>400</v>
      </c>
      <c r="B36" s="1" t="s">
        <v>35</v>
      </c>
      <c r="C36" s="10">
        <v>44054</v>
      </c>
      <c r="D36" s="14">
        <v>46313</v>
      </c>
      <c r="E36" s="18">
        <v>3.5760000000000001</v>
      </c>
      <c r="F36" s="14">
        <v>0</v>
      </c>
      <c r="G36" s="18">
        <v>1.506</v>
      </c>
      <c r="H36" s="18">
        <v>5.37</v>
      </c>
      <c r="I36" s="14">
        <v>75156</v>
      </c>
      <c r="J36" s="14">
        <v>4362.1949999999997</v>
      </c>
      <c r="K36" s="2">
        <v>-17</v>
      </c>
      <c r="L36" s="18">
        <v>113.17400000000001</v>
      </c>
      <c r="M36" s="14">
        <v>1919805</v>
      </c>
      <c r="N36" s="4">
        <v>2.61</v>
      </c>
      <c r="O36" s="4"/>
      <c r="P36" s="79"/>
      <c r="Q36" s="4"/>
      <c r="R36" s="4" t="b">
        <f t="shared" ca="1" si="1"/>
        <v>0</v>
      </c>
      <c r="S36" s="4" t="b">
        <f t="shared" si="0"/>
        <v>1</v>
      </c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</row>
    <row r="37" spans="1:34" ht="15" thickBot="1" x14ac:dyDescent="0.4">
      <c r="A37" s="1" t="s">
        <v>140</v>
      </c>
      <c r="B37" s="1" t="s">
        <v>17</v>
      </c>
      <c r="C37" s="10">
        <v>44054</v>
      </c>
      <c r="D37" s="14">
        <v>11265</v>
      </c>
      <c r="E37" s="18">
        <v>4.4279999999999999</v>
      </c>
      <c r="F37" s="14">
        <v>792</v>
      </c>
      <c r="G37" s="18">
        <v>0.189</v>
      </c>
      <c r="H37" s="18">
        <v>41.49</v>
      </c>
      <c r="I37" s="14">
        <v>158809</v>
      </c>
      <c r="J37" s="14">
        <v>7759.6498000000001</v>
      </c>
      <c r="K37" s="2">
        <v>580</v>
      </c>
      <c r="L37" s="18">
        <v>29.963999999999999</v>
      </c>
      <c r="M37" s="14">
        <v>2203605</v>
      </c>
      <c r="N37" s="4">
        <v>4.78</v>
      </c>
      <c r="O37" s="82">
        <v>4.9074074074074072E-3</v>
      </c>
      <c r="P37" s="86">
        <f t="shared" ref="P37:P47" si="2">60*MINUTE(O37) + SECOND(O37)</f>
        <v>424</v>
      </c>
      <c r="Q37" s="4" t="str" cm="1">
        <f t="array" ref="Q37">_xlfn.IFS(RawData[[#This Row],[Length (Sec)]]&lt;600, "Short", RawData[[#This Row],[Length (Sec)]]&lt;1200, "Mid", RawData[[#This Row],[Length (Sec)]]&gt;1199, "Long")</f>
        <v>Short</v>
      </c>
      <c r="R37" s="4" t="b">
        <f t="shared" ca="1" si="1"/>
        <v>0</v>
      </c>
      <c r="S37" s="4" t="b">
        <f t="shared" si="0"/>
        <v>1</v>
      </c>
      <c r="T37" s="4"/>
      <c r="U37" s="4"/>
      <c r="V37" s="4">
        <v>1</v>
      </c>
      <c r="W37" s="4">
        <v>1</v>
      </c>
      <c r="X37" s="4"/>
      <c r="Y37" s="4"/>
      <c r="Z37" s="4"/>
      <c r="AA37" s="4"/>
      <c r="AB37" s="4">
        <v>1</v>
      </c>
      <c r="AC37" s="4"/>
      <c r="AD37" s="4">
        <v>16.8</v>
      </c>
      <c r="AE37" s="4">
        <v>12.5</v>
      </c>
      <c r="AF37" s="4">
        <v>12.5</v>
      </c>
      <c r="AG37" s="4"/>
      <c r="AH37" s="4">
        <v>1</v>
      </c>
    </row>
    <row r="38" spans="1:34" ht="15" thickBot="1" x14ac:dyDescent="0.4">
      <c r="A38" s="1" t="s">
        <v>199</v>
      </c>
      <c r="B38" s="1" t="s">
        <v>36</v>
      </c>
      <c r="C38" s="10">
        <v>44052</v>
      </c>
      <c r="D38" s="14">
        <v>72914</v>
      </c>
      <c r="E38" s="18">
        <v>4.6619999999999999</v>
      </c>
      <c r="F38" s="14">
        <v>109</v>
      </c>
      <c r="G38" s="18">
        <v>2.508</v>
      </c>
      <c r="H38" s="18">
        <v>45.2</v>
      </c>
      <c r="I38" s="14">
        <v>96180</v>
      </c>
      <c r="J38" s="14">
        <v>5820.1605</v>
      </c>
      <c r="K38" s="2">
        <v>713</v>
      </c>
      <c r="L38" s="18">
        <v>240.89599999999999</v>
      </c>
      <c r="M38" s="14">
        <v>2051154</v>
      </c>
      <c r="N38" s="4">
        <v>2.92</v>
      </c>
      <c r="O38" s="82">
        <v>5.5787037037037038E-3</v>
      </c>
      <c r="P38" s="86">
        <f t="shared" si="2"/>
        <v>482</v>
      </c>
      <c r="Q38" s="4" t="str" cm="1">
        <f t="array" ref="Q38">_xlfn.IFS(RawData[[#This Row],[Length (Sec)]]&lt;600, "Short", RawData[[#This Row],[Length (Sec)]]&lt;1200, "Mid", RawData[[#This Row],[Length (Sec)]]&gt;1199, "Long")</f>
        <v>Short</v>
      </c>
      <c r="R38" s="4" t="b">
        <f t="shared" ca="1" si="1"/>
        <v>0</v>
      </c>
      <c r="S38" s="4" t="b">
        <f t="shared" si="0"/>
        <v>1</v>
      </c>
      <c r="T38" s="4"/>
      <c r="U38" s="4"/>
      <c r="V38" s="4"/>
      <c r="W38" s="4"/>
      <c r="X38" s="4"/>
      <c r="Y38" s="4"/>
      <c r="Z38" s="4"/>
      <c r="AA38" s="4"/>
      <c r="AB38" s="4">
        <v>1</v>
      </c>
      <c r="AC38" s="4"/>
      <c r="AD38" s="4">
        <v>15.6</v>
      </c>
      <c r="AE38" s="4">
        <v>14.3</v>
      </c>
      <c r="AF38" s="4">
        <v>11.5</v>
      </c>
      <c r="AG38" s="4"/>
      <c r="AH38" s="4">
        <v>1</v>
      </c>
    </row>
    <row r="39" spans="1:34" ht="15" thickBot="1" x14ac:dyDescent="0.4">
      <c r="A39" s="1" t="s">
        <v>337</v>
      </c>
      <c r="B39" s="1" t="s">
        <v>17</v>
      </c>
      <c r="C39" s="10">
        <v>44049</v>
      </c>
      <c r="D39" s="14">
        <v>508108</v>
      </c>
      <c r="E39" s="18">
        <v>4.7850000000000001</v>
      </c>
      <c r="F39" s="14">
        <v>0</v>
      </c>
      <c r="G39" s="18">
        <v>4.2919999999999998</v>
      </c>
      <c r="H39" s="18">
        <v>16.07</v>
      </c>
      <c r="I39" s="14">
        <v>596337</v>
      </c>
      <c r="J39" s="14">
        <v>53056.0285</v>
      </c>
      <c r="K39" s="2">
        <v>3977</v>
      </c>
      <c r="L39" s="18">
        <v>2549.0630000000001</v>
      </c>
      <c r="M39" s="14">
        <v>7690732</v>
      </c>
      <c r="N39" s="4">
        <v>5.4</v>
      </c>
      <c r="O39" s="82">
        <v>2.3067129629629632E-2</v>
      </c>
      <c r="P39" s="86">
        <f t="shared" si="2"/>
        <v>1993</v>
      </c>
      <c r="Q39" s="4" t="str" cm="1">
        <f t="array" ref="Q39">_xlfn.IFS(RawData[[#This Row],[Length (Sec)]]&lt;600, "Short", RawData[[#This Row],[Length (Sec)]]&lt;1200, "Mid", RawData[[#This Row],[Length (Sec)]]&gt;1199, "Long")</f>
        <v>Long</v>
      </c>
      <c r="R39" s="4" t="b">
        <f t="shared" ca="1" si="1"/>
        <v>0</v>
      </c>
      <c r="S39" s="4" t="b">
        <f t="shared" si="0"/>
        <v>1</v>
      </c>
      <c r="T39" s="4">
        <v>1</v>
      </c>
      <c r="U39" s="4"/>
      <c r="V39" s="4"/>
      <c r="W39" s="4">
        <v>1</v>
      </c>
      <c r="X39" s="4"/>
      <c r="Y39" s="4"/>
      <c r="Z39" s="4"/>
      <c r="AA39" s="4"/>
      <c r="AB39" s="4"/>
      <c r="AC39" s="4">
        <v>1</v>
      </c>
      <c r="AD39" s="4">
        <v>9.4</v>
      </c>
      <c r="AE39" s="4">
        <v>19.2</v>
      </c>
      <c r="AF39" s="4">
        <v>16.2</v>
      </c>
      <c r="AG39" s="4"/>
      <c r="AH39" s="4"/>
    </row>
    <row r="40" spans="1:34" ht="15" thickBot="1" x14ac:dyDescent="0.4">
      <c r="A40" s="1" t="s">
        <v>187</v>
      </c>
      <c r="B40" s="1" t="s">
        <v>19</v>
      </c>
      <c r="C40" s="10">
        <v>44047</v>
      </c>
      <c r="D40" s="14">
        <v>2127</v>
      </c>
      <c r="E40" s="18">
        <v>6.2770000000000001</v>
      </c>
      <c r="F40" s="14">
        <v>166</v>
      </c>
      <c r="G40" s="18">
        <v>0.126</v>
      </c>
      <c r="H40" s="18">
        <v>29.81</v>
      </c>
      <c r="I40" s="14">
        <v>82144</v>
      </c>
      <c r="J40" s="14">
        <v>4938.1354000000001</v>
      </c>
      <c r="K40" s="2">
        <v>205</v>
      </c>
      <c r="L40" s="18">
        <v>10.362</v>
      </c>
      <c r="M40" s="14">
        <v>1644191</v>
      </c>
      <c r="N40" s="4">
        <v>3.3</v>
      </c>
      <c r="O40" s="82">
        <v>8.4027777777777781E-3</v>
      </c>
      <c r="P40" s="86">
        <f t="shared" si="2"/>
        <v>726</v>
      </c>
      <c r="Q40" s="4" t="str" cm="1">
        <f t="array" ref="Q40">_xlfn.IFS(RawData[[#This Row],[Length (Sec)]]&lt;600, "Short", RawData[[#This Row],[Length (Sec)]]&lt;1200, "Mid", RawData[[#This Row],[Length (Sec)]]&gt;1199, "Long")</f>
        <v>Mid</v>
      </c>
      <c r="R40" s="4" t="b">
        <f t="shared" ca="1" si="1"/>
        <v>0</v>
      </c>
      <c r="S40" s="4" t="b">
        <f t="shared" si="0"/>
        <v>1</v>
      </c>
      <c r="T40" s="4">
        <v>1</v>
      </c>
      <c r="U40" s="4">
        <v>1</v>
      </c>
      <c r="V40" s="4"/>
      <c r="W40" s="4">
        <v>1</v>
      </c>
      <c r="X40" s="4">
        <v>1</v>
      </c>
      <c r="Y40" s="4"/>
      <c r="Z40" s="4"/>
      <c r="AA40" s="4">
        <v>1</v>
      </c>
      <c r="AB40" s="4"/>
      <c r="AC40" s="4"/>
      <c r="AD40" s="4">
        <v>14.4</v>
      </c>
      <c r="AE40" s="4">
        <v>12.9</v>
      </c>
      <c r="AF40" s="4">
        <v>14.1</v>
      </c>
      <c r="AG40" s="4"/>
      <c r="AH40" s="4"/>
    </row>
    <row r="41" spans="1:34" ht="15" thickBot="1" x14ac:dyDescent="0.4">
      <c r="A41" s="1" t="s">
        <v>163</v>
      </c>
      <c r="B41" s="1" t="s">
        <v>19</v>
      </c>
      <c r="C41" s="10">
        <v>44045</v>
      </c>
      <c r="D41" s="14">
        <v>71135</v>
      </c>
      <c r="E41" s="18">
        <v>3.6110000000000002</v>
      </c>
      <c r="F41" s="14">
        <v>409</v>
      </c>
      <c r="G41" s="18">
        <v>1.5569999999999999</v>
      </c>
      <c r="H41" s="18">
        <v>51.42</v>
      </c>
      <c r="I41" s="14">
        <v>108837</v>
      </c>
      <c r="J41" s="14">
        <v>3124.9178000000002</v>
      </c>
      <c r="K41" s="2">
        <v>-85</v>
      </c>
      <c r="L41" s="18">
        <v>169.185</v>
      </c>
      <c r="M41" s="14">
        <v>1352150</v>
      </c>
      <c r="N41" s="4">
        <v>5.37</v>
      </c>
      <c r="O41" s="82">
        <v>2.3263888888888887E-3</v>
      </c>
      <c r="P41" s="86">
        <f t="shared" si="2"/>
        <v>201</v>
      </c>
      <c r="Q41" s="4" t="str" cm="1">
        <f t="array" ref="Q41">_xlfn.IFS(RawData[[#This Row],[Length (Sec)]]&lt;600, "Short", RawData[[#This Row],[Length (Sec)]]&lt;1200, "Mid", RawData[[#This Row],[Length (Sec)]]&gt;1199, "Long")</f>
        <v>Short</v>
      </c>
      <c r="R41" s="4" t="b">
        <f t="shared" ca="1" si="1"/>
        <v>0</v>
      </c>
      <c r="S41" s="4" t="b">
        <f t="shared" si="0"/>
        <v>1</v>
      </c>
      <c r="T41" s="4">
        <v>1</v>
      </c>
      <c r="U41" s="4">
        <v>1</v>
      </c>
      <c r="V41" s="4">
        <v>1</v>
      </c>
      <c r="W41" s="4"/>
      <c r="X41" s="4"/>
      <c r="Y41" s="4"/>
      <c r="Z41" s="4"/>
      <c r="AA41" s="4"/>
      <c r="AB41" s="4"/>
      <c r="AC41" s="4"/>
      <c r="AD41" s="4">
        <v>11.6</v>
      </c>
      <c r="AE41" s="4">
        <v>16.5</v>
      </c>
      <c r="AF41" s="4">
        <v>15.5</v>
      </c>
      <c r="AG41" s="4"/>
      <c r="AH41" s="4"/>
    </row>
    <row r="42" spans="1:34" ht="15" thickBot="1" x14ac:dyDescent="0.4">
      <c r="A42" s="1" t="s">
        <v>73</v>
      </c>
      <c r="B42" s="1" t="s">
        <v>19</v>
      </c>
      <c r="C42" s="10">
        <v>44040</v>
      </c>
      <c r="D42" s="14">
        <v>145940</v>
      </c>
      <c r="E42" s="18">
        <v>4.2809999999999997</v>
      </c>
      <c r="F42" s="14">
        <v>5631</v>
      </c>
      <c r="G42" s="18">
        <v>0.88900000000000001</v>
      </c>
      <c r="H42" s="18">
        <v>49.05</v>
      </c>
      <c r="I42" s="14">
        <v>419826</v>
      </c>
      <c r="J42" s="14">
        <v>26372.8701</v>
      </c>
      <c r="K42" s="2">
        <v>3790</v>
      </c>
      <c r="L42" s="18">
        <v>371.98599999999999</v>
      </c>
      <c r="M42" s="14">
        <v>5623019</v>
      </c>
      <c r="N42" s="4">
        <v>4.95</v>
      </c>
      <c r="O42" s="82">
        <v>5.3356481481481484E-3</v>
      </c>
      <c r="P42" s="86">
        <f t="shared" si="2"/>
        <v>461</v>
      </c>
      <c r="Q42" s="4" t="str" cm="1">
        <f t="array" ref="Q42">_xlfn.IFS(RawData[[#This Row],[Length (Sec)]]&lt;600, "Short", RawData[[#This Row],[Length (Sec)]]&lt;1200, "Mid", RawData[[#This Row],[Length (Sec)]]&gt;1199, "Long")</f>
        <v>Short</v>
      </c>
      <c r="R42" s="4" t="b">
        <f t="shared" ca="1" si="1"/>
        <v>0</v>
      </c>
      <c r="S42" s="4" t="b">
        <f t="shared" si="0"/>
        <v>1</v>
      </c>
      <c r="T42" s="4">
        <v>1</v>
      </c>
      <c r="U42" s="4"/>
      <c r="V42" s="4"/>
      <c r="W42" s="4">
        <v>1</v>
      </c>
      <c r="X42" s="4">
        <v>1</v>
      </c>
      <c r="Y42" s="4"/>
      <c r="Z42" s="4"/>
      <c r="AA42" s="4">
        <v>1</v>
      </c>
      <c r="AB42" s="4"/>
      <c r="AC42" s="4">
        <v>1</v>
      </c>
      <c r="AD42" s="4">
        <v>16.2</v>
      </c>
      <c r="AE42" s="4">
        <v>13.7</v>
      </c>
      <c r="AF42" s="4">
        <v>11.1</v>
      </c>
      <c r="AG42" s="4"/>
      <c r="AH42" s="4"/>
    </row>
    <row r="43" spans="1:34" ht="15" thickBot="1" x14ac:dyDescent="0.4">
      <c r="A43" s="1" t="s">
        <v>95</v>
      </c>
      <c r="B43" s="1" t="s">
        <v>37</v>
      </c>
      <c r="C43" s="10">
        <v>44038</v>
      </c>
      <c r="D43" s="14">
        <v>92082</v>
      </c>
      <c r="E43" s="18">
        <v>3.0939999999999999</v>
      </c>
      <c r="F43" s="14">
        <v>2647</v>
      </c>
      <c r="G43" s="18">
        <v>1.3</v>
      </c>
      <c r="H43" s="18">
        <v>46.56</v>
      </c>
      <c r="I43" s="14">
        <v>139750</v>
      </c>
      <c r="J43" s="14">
        <v>6054.9306999999999</v>
      </c>
      <c r="K43" s="2">
        <v>484</v>
      </c>
      <c r="L43" s="18">
        <v>181.45500000000001</v>
      </c>
      <c r="M43" s="14">
        <v>1850390</v>
      </c>
      <c r="N43" s="4">
        <v>5.29</v>
      </c>
      <c r="O43" s="82">
        <v>3.8773148148148143E-3</v>
      </c>
      <c r="P43" s="86">
        <f t="shared" si="2"/>
        <v>335</v>
      </c>
      <c r="Q43" s="4" t="str" cm="1">
        <f t="array" ref="Q43">_xlfn.IFS(RawData[[#This Row],[Length (Sec)]]&lt;600, "Short", RawData[[#This Row],[Length (Sec)]]&lt;1200, "Mid", RawData[[#This Row],[Length (Sec)]]&gt;1199, "Long")</f>
        <v>Short</v>
      </c>
      <c r="R43" s="4" t="b">
        <f t="shared" ca="1" si="1"/>
        <v>0</v>
      </c>
      <c r="S43" s="4" t="b">
        <f t="shared" si="0"/>
        <v>1</v>
      </c>
      <c r="T43" s="4">
        <v>1</v>
      </c>
      <c r="U43" s="4"/>
      <c r="V43" s="4"/>
      <c r="W43" s="4">
        <v>1</v>
      </c>
      <c r="X43" s="4">
        <v>1</v>
      </c>
      <c r="Y43" s="4"/>
      <c r="Z43" s="4"/>
      <c r="AA43" s="4">
        <v>1</v>
      </c>
      <c r="AB43" s="4"/>
      <c r="AC43" s="4">
        <v>1</v>
      </c>
      <c r="AD43" s="4">
        <v>12.8</v>
      </c>
      <c r="AE43" s="4">
        <v>15.4</v>
      </c>
      <c r="AF43" s="4">
        <v>13.7</v>
      </c>
      <c r="AG43" s="4"/>
      <c r="AH43" s="4"/>
    </row>
    <row r="44" spans="1:34" ht="15" thickBot="1" x14ac:dyDescent="0.4">
      <c r="A44" s="1" t="s">
        <v>56</v>
      </c>
      <c r="B44" s="1" t="s">
        <v>19</v>
      </c>
      <c r="C44" s="10">
        <v>44036</v>
      </c>
      <c r="D44" s="14">
        <v>302259</v>
      </c>
      <c r="E44" s="18">
        <v>3.0369999999999999</v>
      </c>
      <c r="F44" s="14">
        <v>14253</v>
      </c>
      <c r="G44" s="18">
        <v>1.1839999999999999</v>
      </c>
      <c r="H44" s="18">
        <v>65.12</v>
      </c>
      <c r="I44" s="14">
        <v>475952</v>
      </c>
      <c r="J44" s="14">
        <v>20834.528300000002</v>
      </c>
      <c r="K44" s="2">
        <v>3037</v>
      </c>
      <c r="L44" s="18">
        <v>561.49400000000003</v>
      </c>
      <c r="M44" s="14">
        <v>6099187</v>
      </c>
      <c r="N44" s="4">
        <v>5.66</v>
      </c>
      <c r="O44" s="82">
        <v>2.8009259259259259E-3</v>
      </c>
      <c r="P44" s="86">
        <f t="shared" si="2"/>
        <v>242</v>
      </c>
      <c r="Q44" s="4" t="str" cm="1">
        <f t="array" ref="Q44">_xlfn.IFS(RawData[[#This Row],[Length (Sec)]]&lt;600, "Short", RawData[[#This Row],[Length (Sec)]]&lt;1200, "Mid", RawData[[#This Row],[Length (Sec)]]&gt;1199, "Long")</f>
        <v>Short</v>
      </c>
      <c r="R44" s="4" t="b">
        <f t="shared" ca="1" si="1"/>
        <v>0</v>
      </c>
      <c r="S44" s="4" t="b">
        <f t="shared" si="0"/>
        <v>1</v>
      </c>
      <c r="T44" s="4">
        <v>1</v>
      </c>
      <c r="U44" s="4"/>
      <c r="V44" s="4"/>
      <c r="W44" s="4"/>
      <c r="X44" s="4">
        <v>1</v>
      </c>
      <c r="Y44" s="4"/>
      <c r="Z44" s="4"/>
      <c r="AA44" s="4"/>
      <c r="AB44" s="4">
        <v>1</v>
      </c>
      <c r="AC44" s="4">
        <v>1</v>
      </c>
      <c r="AD44" s="4">
        <v>17.899999999999999</v>
      </c>
      <c r="AE44" s="4">
        <v>13.7</v>
      </c>
      <c r="AF44" s="4">
        <v>11.7</v>
      </c>
      <c r="AG44" s="4"/>
      <c r="AH44" s="4">
        <v>1</v>
      </c>
    </row>
    <row r="45" spans="1:34" ht="15" thickBot="1" x14ac:dyDescent="0.4">
      <c r="A45" s="1" t="s">
        <v>162</v>
      </c>
      <c r="B45" s="1" t="s">
        <v>37</v>
      </c>
      <c r="C45" s="10">
        <v>44033</v>
      </c>
      <c r="D45" s="14">
        <v>40939</v>
      </c>
      <c r="E45" s="18">
        <v>8.673</v>
      </c>
      <c r="F45" s="14">
        <v>423</v>
      </c>
      <c r="G45" s="18">
        <v>1.7050000000000001</v>
      </c>
      <c r="H45" s="18">
        <v>21.11</v>
      </c>
      <c r="I45" s="14">
        <v>157710</v>
      </c>
      <c r="J45" s="14">
        <v>13012.690399999999</v>
      </c>
      <c r="K45" s="2">
        <v>865</v>
      </c>
      <c r="L45" s="18">
        <v>268.27199999999999</v>
      </c>
      <c r="M45" s="14">
        <v>2414480</v>
      </c>
      <c r="N45" s="4">
        <v>3.95</v>
      </c>
      <c r="O45" s="82">
        <v>1.6284722222222221E-2</v>
      </c>
      <c r="P45" s="86">
        <f t="shared" si="2"/>
        <v>1407</v>
      </c>
      <c r="Q45" s="4" t="str" cm="1">
        <f t="array" ref="Q45">_xlfn.IFS(RawData[[#This Row],[Length (Sec)]]&lt;600, "Short", RawData[[#This Row],[Length (Sec)]]&lt;1200, "Mid", RawData[[#This Row],[Length (Sec)]]&gt;1199, "Long")</f>
        <v>Long</v>
      </c>
      <c r="R45" s="4" t="b">
        <f t="shared" ca="1" si="1"/>
        <v>0</v>
      </c>
      <c r="S45" s="4" t="b">
        <f t="shared" si="0"/>
        <v>1</v>
      </c>
      <c r="T45" s="4"/>
      <c r="U45" s="4"/>
      <c r="V45" s="4"/>
      <c r="W45" s="4"/>
      <c r="X45" s="4"/>
      <c r="Y45" s="4"/>
      <c r="Z45" s="4"/>
      <c r="AA45" s="4">
        <v>1</v>
      </c>
      <c r="AB45" s="4"/>
      <c r="AC45" s="4"/>
      <c r="AD45" s="4">
        <v>10.9</v>
      </c>
      <c r="AE45" s="4">
        <v>20.100000000000001</v>
      </c>
      <c r="AF45" s="4">
        <v>10.4</v>
      </c>
      <c r="AG45" s="4"/>
      <c r="AH45" s="4">
        <v>1</v>
      </c>
    </row>
    <row r="46" spans="1:34" ht="15" thickBot="1" x14ac:dyDescent="0.4">
      <c r="A46" s="1" t="s">
        <v>122</v>
      </c>
      <c r="B46" s="1" t="s">
        <v>17</v>
      </c>
      <c r="C46" s="10">
        <v>44029</v>
      </c>
      <c r="D46" s="14">
        <v>202595</v>
      </c>
      <c r="E46" s="18">
        <v>3.5289999999999999</v>
      </c>
      <c r="F46" s="14">
        <v>1425</v>
      </c>
      <c r="G46" s="18">
        <v>1.337</v>
      </c>
      <c r="H46" s="18">
        <v>37.56</v>
      </c>
      <c r="I46" s="14">
        <v>349517</v>
      </c>
      <c r="J46" s="14">
        <v>21549.359100000001</v>
      </c>
      <c r="K46" s="2">
        <v>2184</v>
      </c>
      <c r="L46" s="18">
        <v>466.279</v>
      </c>
      <c r="M46" s="14">
        <v>5593924</v>
      </c>
      <c r="N46" s="4">
        <v>4.57</v>
      </c>
      <c r="O46" s="82">
        <v>6.8402777777777776E-3</v>
      </c>
      <c r="P46" s="86">
        <f t="shared" si="2"/>
        <v>591</v>
      </c>
      <c r="Q46" s="4" t="str" cm="1">
        <f t="array" ref="Q46">_xlfn.IFS(RawData[[#This Row],[Length (Sec)]]&lt;600, "Short", RawData[[#This Row],[Length (Sec)]]&lt;1200, "Mid", RawData[[#This Row],[Length (Sec)]]&gt;1199, "Long")</f>
        <v>Short</v>
      </c>
      <c r="R46" s="4" t="b">
        <f t="shared" ca="1" si="1"/>
        <v>0</v>
      </c>
      <c r="S46" s="4" t="b">
        <f t="shared" si="0"/>
        <v>1</v>
      </c>
      <c r="T46" s="4">
        <v>1</v>
      </c>
      <c r="U46" s="4">
        <v>1</v>
      </c>
      <c r="V46" s="4">
        <v>1</v>
      </c>
      <c r="W46" s="4"/>
      <c r="X46" s="4">
        <v>1</v>
      </c>
      <c r="Y46" s="4"/>
      <c r="Z46" s="4"/>
      <c r="AA46" s="4"/>
      <c r="AB46" s="4"/>
      <c r="AC46" s="4"/>
      <c r="AD46" s="4">
        <v>10.5</v>
      </c>
      <c r="AE46" s="4">
        <v>15.9</v>
      </c>
      <c r="AF46" s="4">
        <v>17.8</v>
      </c>
      <c r="AG46" s="4"/>
      <c r="AH46" s="4"/>
    </row>
    <row r="47" spans="1:34" ht="15" thickBot="1" x14ac:dyDescent="0.4">
      <c r="A47" s="1" t="s">
        <v>114</v>
      </c>
      <c r="B47" s="1" t="s">
        <v>36</v>
      </c>
      <c r="C47" s="10">
        <v>44026</v>
      </c>
      <c r="D47" s="14">
        <v>11696</v>
      </c>
      <c r="E47" s="18">
        <v>6.1619999999999999</v>
      </c>
      <c r="F47" s="14">
        <v>1676</v>
      </c>
      <c r="G47" s="18">
        <v>0.35299999999999998</v>
      </c>
      <c r="H47" s="18">
        <v>43.81</v>
      </c>
      <c r="I47" s="14">
        <v>137458</v>
      </c>
      <c r="J47" s="14">
        <v>8530.6239999999998</v>
      </c>
      <c r="K47" s="2">
        <v>634</v>
      </c>
      <c r="L47" s="18">
        <v>48.463000000000001</v>
      </c>
      <c r="M47" s="14">
        <v>2513697</v>
      </c>
      <c r="N47" s="4">
        <v>3.56</v>
      </c>
      <c r="O47" s="82">
        <v>5.9027777777777776E-3</v>
      </c>
      <c r="P47" s="86">
        <f t="shared" si="2"/>
        <v>510</v>
      </c>
      <c r="Q47" s="4" t="str" cm="1">
        <f t="array" ref="Q47">_xlfn.IFS(RawData[[#This Row],[Length (Sec)]]&lt;600, "Short", RawData[[#This Row],[Length (Sec)]]&lt;1200, "Mid", RawData[[#This Row],[Length (Sec)]]&gt;1199, "Long")</f>
        <v>Short</v>
      </c>
      <c r="R47" s="4" t="b">
        <f t="shared" ca="1" si="1"/>
        <v>0</v>
      </c>
      <c r="S47" s="4" t="b">
        <f t="shared" si="0"/>
        <v>1</v>
      </c>
      <c r="T47" s="4"/>
      <c r="U47" s="4"/>
      <c r="V47" s="4"/>
      <c r="W47" s="4"/>
      <c r="X47" s="4"/>
      <c r="Y47" s="4"/>
      <c r="Z47" s="4"/>
      <c r="AA47" s="4"/>
      <c r="AB47" s="4">
        <v>1</v>
      </c>
      <c r="AC47" s="4"/>
      <c r="AD47" s="4">
        <v>15.4</v>
      </c>
      <c r="AE47" s="4">
        <v>14.3</v>
      </c>
      <c r="AF47" s="4">
        <v>11.4</v>
      </c>
      <c r="AG47" s="4"/>
      <c r="AH47" s="4">
        <v>1</v>
      </c>
    </row>
    <row r="48" spans="1:34" ht="15" thickBot="1" x14ac:dyDescent="0.4">
      <c r="A48" s="1" t="s">
        <v>322</v>
      </c>
      <c r="B48" s="1" t="s">
        <v>35</v>
      </c>
      <c r="C48" s="10">
        <v>44025</v>
      </c>
      <c r="D48" s="14">
        <v>53186</v>
      </c>
      <c r="E48" s="18">
        <v>3.94</v>
      </c>
      <c r="F48" s="14">
        <v>0</v>
      </c>
      <c r="G48" s="18">
        <v>4.5330000000000004</v>
      </c>
      <c r="H48" s="18">
        <v>10.33</v>
      </c>
      <c r="I48" s="14">
        <v>79787</v>
      </c>
      <c r="J48" s="14">
        <v>13383.766299999999</v>
      </c>
      <c r="K48" s="2">
        <v>-75</v>
      </c>
      <c r="L48" s="18">
        <v>361.26600000000002</v>
      </c>
      <c r="M48" s="14">
        <v>2417881</v>
      </c>
      <c r="N48" s="4">
        <v>2.0099999999999998</v>
      </c>
      <c r="O48" s="4"/>
      <c r="P48" s="79"/>
      <c r="Q48" s="4"/>
      <c r="R48" s="4" t="b">
        <f t="shared" ca="1" si="1"/>
        <v>0</v>
      </c>
      <c r="S48" s="4" t="b">
        <f t="shared" si="0"/>
        <v>1</v>
      </c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</row>
    <row r="49" spans="1:34" ht="15" thickBot="1" x14ac:dyDescent="0.4">
      <c r="A49" s="1" t="s">
        <v>309</v>
      </c>
      <c r="B49" s="1" t="s">
        <v>35</v>
      </c>
      <c r="C49" s="10">
        <v>44024</v>
      </c>
      <c r="D49" s="14">
        <v>17714</v>
      </c>
      <c r="E49" s="18">
        <v>3.343</v>
      </c>
      <c r="F49" s="14">
        <v>0</v>
      </c>
      <c r="G49" s="18">
        <v>1.454</v>
      </c>
      <c r="H49" s="18">
        <v>7.14</v>
      </c>
      <c r="I49" s="14">
        <v>30134</v>
      </c>
      <c r="J49" s="14">
        <v>3382.3234000000002</v>
      </c>
      <c r="K49" s="2">
        <v>-81</v>
      </c>
      <c r="L49" s="18">
        <v>43.819000000000003</v>
      </c>
      <c r="M49" s="14">
        <v>1844145</v>
      </c>
      <c r="N49" s="4">
        <v>0.89</v>
      </c>
      <c r="O49" s="4"/>
      <c r="P49" s="79"/>
      <c r="Q49" s="4"/>
      <c r="R49" s="4" t="b">
        <f t="shared" ca="1" si="1"/>
        <v>0</v>
      </c>
      <c r="S49" s="4" t="b">
        <f t="shared" si="0"/>
        <v>1</v>
      </c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</row>
    <row r="50" spans="1:34" ht="15" thickBot="1" x14ac:dyDescent="0.4">
      <c r="A50" s="1" t="s">
        <v>104</v>
      </c>
      <c r="B50" s="1" t="s">
        <v>17</v>
      </c>
      <c r="C50" s="10">
        <v>44024</v>
      </c>
      <c r="D50" s="14">
        <v>294237</v>
      </c>
      <c r="E50" s="18">
        <v>5.1619999999999999</v>
      </c>
      <c r="F50" s="14">
        <v>2001</v>
      </c>
      <c r="G50" s="18">
        <v>3.2330000000000001</v>
      </c>
      <c r="H50" s="18">
        <v>25.09</v>
      </c>
      <c r="I50" s="14">
        <v>350545</v>
      </c>
      <c r="J50" s="14">
        <v>22990.2644</v>
      </c>
      <c r="K50" s="2">
        <v>1325</v>
      </c>
      <c r="L50" s="18">
        <v>1130.1980000000001</v>
      </c>
      <c r="M50" s="14">
        <v>3309708</v>
      </c>
      <c r="N50" s="4">
        <v>7.53</v>
      </c>
      <c r="O50" s="82">
        <v>1.0891203703703703E-2</v>
      </c>
      <c r="P50" s="86">
        <f>60*MINUTE(O50) + SECOND(O50)</f>
        <v>941</v>
      </c>
      <c r="Q50" s="4" t="str" cm="1">
        <f t="array" ref="Q50">_xlfn.IFS(RawData[[#This Row],[Length (Sec)]]&lt;600, "Short", RawData[[#This Row],[Length (Sec)]]&lt;1200, "Mid", RawData[[#This Row],[Length (Sec)]]&gt;1199, "Long")</f>
        <v>Mid</v>
      </c>
      <c r="R50" s="4" t="b">
        <f t="shared" ca="1" si="1"/>
        <v>0</v>
      </c>
      <c r="S50" s="4" t="b">
        <f t="shared" si="0"/>
        <v>1</v>
      </c>
      <c r="T50" s="4">
        <v>1</v>
      </c>
      <c r="U50" s="4"/>
      <c r="V50" s="4"/>
      <c r="W50" s="4">
        <v>1</v>
      </c>
      <c r="X50" s="4">
        <v>1</v>
      </c>
      <c r="Y50" s="4"/>
      <c r="Z50" s="4"/>
      <c r="AA50" s="4">
        <v>1</v>
      </c>
      <c r="AB50" s="4"/>
      <c r="AC50" s="4">
        <v>1</v>
      </c>
      <c r="AD50" s="4">
        <v>12.7</v>
      </c>
      <c r="AE50" s="4">
        <v>17</v>
      </c>
      <c r="AF50" s="4">
        <v>12.7</v>
      </c>
      <c r="AG50" s="4"/>
      <c r="AH50" s="4"/>
    </row>
    <row r="51" spans="1:34" ht="15" thickBot="1" x14ac:dyDescent="0.4">
      <c r="A51" s="1" t="s">
        <v>256</v>
      </c>
      <c r="B51" s="1" t="s">
        <v>35</v>
      </c>
      <c r="C51" s="10">
        <v>44021</v>
      </c>
      <c r="D51" s="14">
        <v>15947</v>
      </c>
      <c r="E51" s="18">
        <v>3.0630000000000002</v>
      </c>
      <c r="F51" s="14">
        <v>0</v>
      </c>
      <c r="G51" s="18">
        <v>1.2889999999999999</v>
      </c>
      <c r="H51" s="18">
        <v>7.82</v>
      </c>
      <c r="I51" s="14">
        <v>28975</v>
      </c>
      <c r="J51" s="14">
        <v>4445.7091</v>
      </c>
      <c r="K51" s="2">
        <v>-40</v>
      </c>
      <c r="L51" s="18">
        <v>37.338000000000001</v>
      </c>
      <c r="M51" s="14">
        <v>1752924</v>
      </c>
      <c r="N51" s="4">
        <v>0.95</v>
      </c>
      <c r="O51" s="4"/>
      <c r="P51" s="79"/>
      <c r="Q51" s="4"/>
      <c r="R51" s="4" t="b">
        <f t="shared" ca="1" si="1"/>
        <v>0</v>
      </c>
      <c r="S51" s="4" t="b">
        <f t="shared" si="0"/>
        <v>1</v>
      </c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</row>
    <row r="52" spans="1:34" ht="15" thickBot="1" x14ac:dyDescent="0.4">
      <c r="A52" s="1" t="s">
        <v>304</v>
      </c>
      <c r="B52" s="1" t="s">
        <v>35</v>
      </c>
      <c r="C52" s="10">
        <v>44021</v>
      </c>
      <c r="D52" s="14">
        <v>59053</v>
      </c>
      <c r="E52" s="18">
        <v>2.4329999999999998</v>
      </c>
      <c r="F52" s="14">
        <v>0</v>
      </c>
      <c r="G52" s="18">
        <v>1.177</v>
      </c>
      <c r="H52" s="18">
        <v>5.08</v>
      </c>
      <c r="I52" s="14">
        <v>86795</v>
      </c>
      <c r="J52" s="14">
        <v>9035.1654999999992</v>
      </c>
      <c r="K52" s="2">
        <v>0</v>
      </c>
      <c r="L52" s="18">
        <v>102.166</v>
      </c>
      <c r="M52" s="14">
        <v>2198078</v>
      </c>
      <c r="N52" s="4">
        <v>2.66</v>
      </c>
      <c r="O52" s="4"/>
      <c r="P52" s="79"/>
      <c r="Q52" s="4"/>
      <c r="R52" s="4" t="b">
        <f t="shared" ca="1" si="1"/>
        <v>0</v>
      </c>
      <c r="S52" s="4" t="b">
        <f t="shared" si="0"/>
        <v>1</v>
      </c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</row>
    <row r="53" spans="1:34" ht="15" thickBot="1" x14ac:dyDescent="0.4">
      <c r="A53" s="1" t="s">
        <v>295</v>
      </c>
      <c r="B53" s="45"/>
      <c r="C53" s="10">
        <v>44019</v>
      </c>
      <c r="D53" s="14">
        <v>0</v>
      </c>
      <c r="E53" s="19"/>
      <c r="F53" s="14">
        <v>0</v>
      </c>
      <c r="G53" s="19"/>
      <c r="H53" s="19"/>
      <c r="I53" s="14">
        <v>0</v>
      </c>
      <c r="J53" s="14">
        <v>0</v>
      </c>
      <c r="K53" s="2">
        <v>1</v>
      </c>
      <c r="L53" s="18">
        <v>0</v>
      </c>
      <c r="M53" s="14">
        <v>0</v>
      </c>
      <c r="N53" s="3"/>
      <c r="O53" s="82"/>
      <c r="P53" s="86"/>
      <c r="Q53" s="4"/>
      <c r="R53" s="4" t="b">
        <f t="shared" ca="1" si="1"/>
        <v>0</v>
      </c>
      <c r="S53" s="4" t="b">
        <f t="shared" si="0"/>
        <v>0</v>
      </c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</row>
    <row r="54" spans="1:34" ht="15" thickBot="1" x14ac:dyDescent="0.4">
      <c r="A54" s="1" t="s">
        <v>120</v>
      </c>
      <c r="B54" s="1" t="s">
        <v>37</v>
      </c>
      <c r="C54" s="10">
        <v>44019</v>
      </c>
      <c r="D54" s="14">
        <v>50107</v>
      </c>
      <c r="E54" s="18">
        <v>7.5940000000000003</v>
      </c>
      <c r="F54" s="14">
        <v>1610</v>
      </c>
      <c r="G54" s="18">
        <v>1.5049999999999999</v>
      </c>
      <c r="H54" s="18">
        <v>26.78</v>
      </c>
      <c r="I54" s="14">
        <v>209244</v>
      </c>
      <c r="J54" s="14">
        <v>15068.384899999999</v>
      </c>
      <c r="K54" s="2">
        <v>1214</v>
      </c>
      <c r="L54" s="18">
        <v>313.87799999999999</v>
      </c>
      <c r="M54" s="14">
        <v>2969845</v>
      </c>
      <c r="N54" s="4">
        <v>4.5599999999999996</v>
      </c>
      <c r="O54" s="82">
        <v>1.1203703703703704E-2</v>
      </c>
      <c r="P54" s="86">
        <f>60*MINUTE(O54) + SECOND(O54)</f>
        <v>968</v>
      </c>
      <c r="Q54" s="4" t="str" cm="1">
        <f t="array" ref="Q54">_xlfn.IFS(RawData[[#This Row],[Length (Sec)]]&lt;600, "Short", RawData[[#This Row],[Length (Sec)]]&lt;1200, "Mid", RawData[[#This Row],[Length (Sec)]]&gt;1199, "Long")</f>
        <v>Mid</v>
      </c>
      <c r="R54" s="4" t="b">
        <f t="shared" ca="1" si="1"/>
        <v>0</v>
      </c>
      <c r="S54" s="4" t="b">
        <f t="shared" si="0"/>
        <v>1</v>
      </c>
      <c r="T54" s="4"/>
      <c r="U54" s="4"/>
      <c r="V54" s="4"/>
      <c r="W54" s="4"/>
      <c r="X54" s="4"/>
      <c r="Y54" s="4"/>
      <c r="Z54" s="4"/>
      <c r="AA54" s="4">
        <v>1</v>
      </c>
      <c r="AB54" s="4"/>
      <c r="AC54" s="4"/>
      <c r="AD54" s="4">
        <v>10</v>
      </c>
      <c r="AE54" s="4">
        <v>17.600000000000001</v>
      </c>
      <c r="AF54" s="4">
        <v>11.1</v>
      </c>
      <c r="AG54" s="4"/>
      <c r="AH54" s="4"/>
    </row>
    <row r="55" spans="1:34" ht="15" thickBot="1" x14ac:dyDescent="0.4">
      <c r="A55" s="1" t="s">
        <v>137</v>
      </c>
      <c r="B55" s="1" t="s">
        <v>19</v>
      </c>
      <c r="C55" s="10">
        <v>44018</v>
      </c>
      <c r="D55" s="14">
        <v>73936</v>
      </c>
      <c r="E55" s="18">
        <v>3.0630000000000002</v>
      </c>
      <c r="F55" s="14">
        <v>966</v>
      </c>
      <c r="G55" s="18">
        <v>1.488</v>
      </c>
      <c r="H55" s="18">
        <v>46.33</v>
      </c>
      <c r="I55" s="14">
        <v>95651</v>
      </c>
      <c r="J55" s="14">
        <v>5982.3324000000002</v>
      </c>
      <c r="K55" s="2">
        <v>364</v>
      </c>
      <c r="L55" s="18">
        <v>142.238</v>
      </c>
      <c r="M55" s="14">
        <v>1828866</v>
      </c>
      <c r="N55" s="4">
        <v>3.52</v>
      </c>
      <c r="O55" s="82">
        <v>5.6249999999999989E-3</v>
      </c>
      <c r="P55" s="86">
        <f>60*MINUTE(O55) + SECOND(O55)</f>
        <v>486</v>
      </c>
      <c r="Q55" s="4" t="str" cm="1">
        <f t="array" ref="Q55">_xlfn.IFS(RawData[[#This Row],[Length (Sec)]]&lt;600, "Short", RawData[[#This Row],[Length (Sec)]]&lt;1200, "Mid", RawData[[#This Row],[Length (Sec)]]&gt;1199, "Long")</f>
        <v>Short</v>
      </c>
      <c r="R55" s="4" t="b">
        <f t="shared" ca="1" si="1"/>
        <v>0</v>
      </c>
      <c r="S55" s="4" t="b">
        <f t="shared" si="0"/>
        <v>1</v>
      </c>
      <c r="T55" s="4"/>
      <c r="U55" s="4"/>
      <c r="V55" s="4"/>
      <c r="W55" s="4">
        <v>1</v>
      </c>
      <c r="X55" s="4"/>
      <c r="Y55" s="4"/>
      <c r="Z55" s="4"/>
      <c r="AA55" s="4"/>
      <c r="AB55" s="4"/>
      <c r="AC55" s="4"/>
      <c r="AD55" s="4">
        <v>14.7</v>
      </c>
      <c r="AE55" s="4">
        <v>12.6</v>
      </c>
      <c r="AF55" s="4">
        <v>12.9</v>
      </c>
      <c r="AG55" s="4"/>
      <c r="AH55" s="4">
        <v>1</v>
      </c>
    </row>
    <row r="56" spans="1:34" ht="15" thickBot="1" x14ac:dyDescent="0.4">
      <c r="A56" s="1" t="s">
        <v>314</v>
      </c>
      <c r="B56" s="1" t="s">
        <v>35</v>
      </c>
      <c r="C56" s="10">
        <v>44018</v>
      </c>
      <c r="D56" s="14">
        <v>95134</v>
      </c>
      <c r="E56" s="18">
        <v>2.1920000000000002</v>
      </c>
      <c r="F56" s="14">
        <v>0</v>
      </c>
      <c r="G56" s="18">
        <v>1.2390000000000001</v>
      </c>
      <c r="H56" s="18">
        <v>6.43</v>
      </c>
      <c r="I56" s="14">
        <v>122612</v>
      </c>
      <c r="J56" s="14">
        <v>13595.927600000001</v>
      </c>
      <c r="K56" s="2">
        <v>332</v>
      </c>
      <c r="L56" s="18">
        <v>151.89099999999999</v>
      </c>
      <c r="M56" s="14">
        <v>3296466</v>
      </c>
      <c r="N56" s="4">
        <v>2.44</v>
      </c>
      <c r="O56" s="4"/>
      <c r="P56" s="79"/>
      <c r="Q56" s="4"/>
      <c r="R56" s="4" t="b">
        <f t="shared" ca="1" si="1"/>
        <v>0</v>
      </c>
      <c r="S56" s="4" t="b">
        <f t="shared" si="0"/>
        <v>1</v>
      </c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</row>
    <row r="57" spans="1:34" ht="15" thickBot="1" x14ac:dyDescent="0.4">
      <c r="A57" s="1" t="s">
        <v>438</v>
      </c>
      <c r="B57" s="1" t="s">
        <v>17</v>
      </c>
      <c r="C57" s="10">
        <v>44015</v>
      </c>
      <c r="D57" s="14">
        <v>527581</v>
      </c>
      <c r="E57" s="18">
        <v>3.8069999999999999</v>
      </c>
      <c r="F57" s="14">
        <v>0</v>
      </c>
      <c r="G57" s="18">
        <v>2.13</v>
      </c>
      <c r="H57" s="18">
        <v>22.92</v>
      </c>
      <c r="I57" s="14">
        <v>637834</v>
      </c>
      <c r="J57" s="14">
        <v>81229.48</v>
      </c>
      <c r="K57" s="2">
        <v>4529</v>
      </c>
      <c r="L57" s="18">
        <v>1357.059</v>
      </c>
      <c r="M57" s="14">
        <v>10557253</v>
      </c>
      <c r="N57" s="4">
        <v>4.41</v>
      </c>
      <c r="O57" s="82">
        <v>2.314814814814815E-2</v>
      </c>
      <c r="P57" s="86">
        <f t="shared" ref="P57:P62" si="3">60*MINUTE(O57) + SECOND(O57)</f>
        <v>2000</v>
      </c>
      <c r="Q57" s="4" t="str" cm="1">
        <f t="array" ref="Q57">_xlfn.IFS(RawData[[#This Row],[Length (Sec)]]&lt;600, "Short", RawData[[#This Row],[Length (Sec)]]&lt;1200, "Mid", RawData[[#This Row],[Length (Sec)]]&gt;1199, "Long")</f>
        <v>Long</v>
      </c>
      <c r="R57" s="4" t="b">
        <f t="shared" ca="1" si="1"/>
        <v>0</v>
      </c>
      <c r="S57" s="4" t="b">
        <f t="shared" si="0"/>
        <v>1</v>
      </c>
      <c r="T57" s="4">
        <v>1</v>
      </c>
      <c r="U57" s="4"/>
      <c r="V57" s="4"/>
      <c r="W57" s="4"/>
      <c r="X57" s="4">
        <v>1</v>
      </c>
      <c r="Y57" s="4"/>
      <c r="Z57" s="4"/>
      <c r="AA57" s="4"/>
      <c r="AB57" s="4"/>
      <c r="AC57" s="4">
        <v>1</v>
      </c>
      <c r="AD57" s="4">
        <v>8.8000000000000007</v>
      </c>
      <c r="AE57" s="4">
        <v>21.1</v>
      </c>
      <c r="AF57" s="4">
        <v>19.399999999999999</v>
      </c>
      <c r="AG57" s="4">
        <v>1</v>
      </c>
      <c r="AH57" s="4"/>
    </row>
    <row r="58" spans="1:34" ht="15" thickBot="1" x14ac:dyDescent="0.4">
      <c r="A58" s="1" t="s">
        <v>110</v>
      </c>
      <c r="B58" s="1" t="s">
        <v>36</v>
      </c>
      <c r="C58" s="10">
        <v>44013</v>
      </c>
      <c r="D58" s="14">
        <v>52261</v>
      </c>
      <c r="E58" s="18">
        <v>4.9610000000000003</v>
      </c>
      <c r="F58" s="14">
        <v>1842</v>
      </c>
      <c r="G58" s="18">
        <v>0.63200000000000001</v>
      </c>
      <c r="H58" s="18">
        <v>39.14</v>
      </c>
      <c r="I58" s="14">
        <v>281319</v>
      </c>
      <c r="J58" s="14">
        <v>23030.411199999999</v>
      </c>
      <c r="K58" s="2">
        <v>3497</v>
      </c>
      <c r="L58" s="18">
        <v>177.51300000000001</v>
      </c>
      <c r="M58" s="14">
        <v>4419105</v>
      </c>
      <c r="N58" s="4">
        <v>3.93</v>
      </c>
      <c r="O58" s="82">
        <v>8.7152777777777784E-3</v>
      </c>
      <c r="P58" s="86">
        <f t="shared" si="3"/>
        <v>753</v>
      </c>
      <c r="Q58" s="4" t="str" cm="1">
        <f t="array" ref="Q58">_xlfn.IFS(RawData[[#This Row],[Length (Sec)]]&lt;600, "Short", RawData[[#This Row],[Length (Sec)]]&lt;1200, "Mid", RawData[[#This Row],[Length (Sec)]]&gt;1199, "Long")</f>
        <v>Mid</v>
      </c>
      <c r="R58" s="4" t="b">
        <f t="shared" ca="1" si="1"/>
        <v>0</v>
      </c>
      <c r="S58" s="4" t="b">
        <f t="shared" si="0"/>
        <v>1</v>
      </c>
      <c r="T58" s="4"/>
      <c r="U58" s="4"/>
      <c r="V58" s="4"/>
      <c r="W58" s="4"/>
      <c r="X58" s="4"/>
      <c r="Y58" s="4"/>
      <c r="Z58" s="4"/>
      <c r="AA58" s="4"/>
      <c r="AB58" s="4">
        <v>1</v>
      </c>
      <c r="AC58" s="4"/>
      <c r="AD58" s="4">
        <v>15.1</v>
      </c>
      <c r="AE58" s="4">
        <v>15.6</v>
      </c>
      <c r="AF58" s="4">
        <v>10</v>
      </c>
      <c r="AG58" s="4"/>
      <c r="AH58" s="4">
        <v>1</v>
      </c>
    </row>
    <row r="59" spans="1:34" ht="15" thickBot="1" x14ac:dyDescent="0.4">
      <c r="A59" s="1" t="s">
        <v>143</v>
      </c>
      <c r="B59" s="1" t="s">
        <v>19</v>
      </c>
      <c r="C59" s="10">
        <v>44010</v>
      </c>
      <c r="D59" s="14">
        <v>11508</v>
      </c>
      <c r="E59" s="18">
        <v>7.6680000000000001</v>
      </c>
      <c r="F59" s="14">
        <v>710</v>
      </c>
      <c r="G59" s="18">
        <v>0.5</v>
      </c>
      <c r="H59" s="18">
        <v>40.49</v>
      </c>
      <c r="I59" s="14">
        <v>134740</v>
      </c>
      <c r="J59" s="14">
        <v>7955.6754000000001</v>
      </c>
      <c r="K59" s="2">
        <v>559</v>
      </c>
      <c r="L59" s="18">
        <v>67.281000000000006</v>
      </c>
      <c r="M59" s="14">
        <v>2085098</v>
      </c>
      <c r="N59" s="4">
        <v>4.37</v>
      </c>
      <c r="O59" s="82">
        <v>6.076388888888889E-3</v>
      </c>
      <c r="P59" s="86">
        <f t="shared" si="3"/>
        <v>525</v>
      </c>
      <c r="Q59" s="4" t="str" cm="1">
        <f t="array" ref="Q59">_xlfn.IFS(RawData[[#This Row],[Length (Sec)]]&lt;600, "Short", RawData[[#This Row],[Length (Sec)]]&lt;1200, "Mid", RawData[[#This Row],[Length (Sec)]]&gt;1199, "Long")</f>
        <v>Short</v>
      </c>
      <c r="R59" s="4" t="b">
        <f t="shared" ca="1" si="1"/>
        <v>0</v>
      </c>
      <c r="S59" s="4" t="b">
        <f t="shared" si="0"/>
        <v>1</v>
      </c>
      <c r="T59" s="4">
        <v>1</v>
      </c>
      <c r="U59" s="4">
        <v>1</v>
      </c>
      <c r="V59" s="4"/>
      <c r="W59" s="4"/>
      <c r="X59" s="4">
        <v>1</v>
      </c>
      <c r="Y59" s="4"/>
      <c r="Z59" s="4"/>
      <c r="AA59" s="4">
        <v>1</v>
      </c>
      <c r="AB59" s="4"/>
      <c r="AC59" s="4"/>
      <c r="AD59" s="4">
        <v>13.9</v>
      </c>
      <c r="AE59" s="4">
        <v>14.5</v>
      </c>
      <c r="AF59" s="4">
        <v>12.4</v>
      </c>
      <c r="AG59" s="4"/>
      <c r="AH59" s="4"/>
    </row>
    <row r="60" spans="1:34" ht="15" thickBot="1" x14ac:dyDescent="0.4">
      <c r="A60" s="1" t="s">
        <v>105</v>
      </c>
      <c r="B60" s="1" t="s">
        <v>36</v>
      </c>
      <c r="C60" s="10">
        <v>44005</v>
      </c>
      <c r="D60" s="14">
        <v>132526</v>
      </c>
      <c r="E60" s="18">
        <v>5.7679999999999998</v>
      </c>
      <c r="F60" s="14">
        <v>1955</v>
      </c>
      <c r="G60" s="18">
        <v>1.2909999999999999</v>
      </c>
      <c r="H60" s="18">
        <v>33.659999999999997</v>
      </c>
      <c r="I60" s="14">
        <v>409343</v>
      </c>
      <c r="J60" s="14">
        <v>29279.0815</v>
      </c>
      <c r="K60" s="2">
        <v>4767</v>
      </c>
      <c r="L60" s="18">
        <v>526.55499999999995</v>
      </c>
      <c r="M60" s="14">
        <v>6096749</v>
      </c>
      <c r="N60" s="4">
        <v>4.01</v>
      </c>
      <c r="O60" s="82">
        <v>8.8541666666666664E-3</v>
      </c>
      <c r="P60" s="86">
        <f t="shared" si="3"/>
        <v>765</v>
      </c>
      <c r="Q60" s="4" t="str" cm="1">
        <f t="array" ref="Q60">_xlfn.IFS(RawData[[#This Row],[Length (Sec)]]&lt;600, "Short", RawData[[#This Row],[Length (Sec)]]&lt;1200, "Mid", RawData[[#This Row],[Length (Sec)]]&gt;1199, "Long")</f>
        <v>Mid</v>
      </c>
      <c r="R60" s="4" t="b">
        <f t="shared" ca="1" si="1"/>
        <v>0</v>
      </c>
      <c r="S60" s="4" t="b">
        <f t="shared" si="0"/>
        <v>1</v>
      </c>
      <c r="T60" s="4"/>
      <c r="U60" s="4"/>
      <c r="V60" s="4"/>
      <c r="W60" s="4"/>
      <c r="X60" s="4"/>
      <c r="Y60" s="4"/>
      <c r="Z60" s="4"/>
      <c r="AA60" s="4">
        <v>1</v>
      </c>
      <c r="AB60" s="4">
        <v>1</v>
      </c>
      <c r="AC60" s="4"/>
      <c r="AD60" s="4">
        <v>17.5</v>
      </c>
      <c r="AE60" s="4">
        <v>15.9</v>
      </c>
      <c r="AF60" s="4">
        <v>8.3000000000000007</v>
      </c>
      <c r="AG60" s="4"/>
      <c r="AH60" s="4">
        <v>1</v>
      </c>
    </row>
    <row r="61" spans="1:34" ht="15" thickBot="1" x14ac:dyDescent="0.4">
      <c r="A61" s="1" t="s">
        <v>152</v>
      </c>
      <c r="B61" s="1" t="s">
        <v>17</v>
      </c>
      <c r="C61" s="10">
        <v>44003</v>
      </c>
      <c r="D61" s="14">
        <v>86844</v>
      </c>
      <c r="E61" s="18">
        <v>4.2030000000000003</v>
      </c>
      <c r="F61" s="14">
        <v>536</v>
      </c>
      <c r="G61" s="18">
        <v>2.42</v>
      </c>
      <c r="H61" s="18">
        <v>46.4</v>
      </c>
      <c r="I61" s="14">
        <v>117941</v>
      </c>
      <c r="J61" s="14">
        <v>11264.5571</v>
      </c>
      <c r="K61" s="2">
        <v>182</v>
      </c>
      <c r="L61" s="18">
        <v>285.16899999999998</v>
      </c>
      <c r="M61" s="14">
        <v>2391634</v>
      </c>
      <c r="N61" s="4">
        <v>3.41</v>
      </c>
      <c r="O61" s="82">
        <v>8.5763888888888886E-3</v>
      </c>
      <c r="P61" s="86">
        <f t="shared" si="3"/>
        <v>741</v>
      </c>
      <c r="Q61" s="4" t="str" cm="1">
        <f t="array" ref="Q61">_xlfn.IFS(RawData[[#This Row],[Length (Sec)]]&lt;600, "Short", RawData[[#This Row],[Length (Sec)]]&lt;1200, "Mid", RawData[[#This Row],[Length (Sec)]]&gt;1199, "Long")</f>
        <v>Mid</v>
      </c>
      <c r="R61" s="4" t="b">
        <f t="shared" ca="1" si="1"/>
        <v>0</v>
      </c>
      <c r="S61" s="4" t="b">
        <f t="shared" si="0"/>
        <v>1</v>
      </c>
      <c r="T61" s="4">
        <v>1</v>
      </c>
      <c r="U61" s="4"/>
      <c r="V61" s="4"/>
      <c r="W61" s="4">
        <v>1</v>
      </c>
      <c r="X61" s="4"/>
      <c r="Y61" s="4"/>
      <c r="Z61" s="4"/>
      <c r="AA61" s="4">
        <v>1</v>
      </c>
      <c r="AB61" s="4"/>
      <c r="AC61" s="4">
        <v>1</v>
      </c>
      <c r="AD61" s="4">
        <v>12.7</v>
      </c>
      <c r="AE61" s="4">
        <v>12.3</v>
      </c>
      <c r="AF61" s="4">
        <v>16.7</v>
      </c>
      <c r="AG61" s="4"/>
      <c r="AH61" s="4"/>
    </row>
    <row r="62" spans="1:34" ht="15" thickBot="1" x14ac:dyDescent="0.4">
      <c r="A62" s="1" t="s">
        <v>80</v>
      </c>
      <c r="B62" s="1" t="s">
        <v>19</v>
      </c>
      <c r="C62" s="10">
        <v>43999</v>
      </c>
      <c r="D62" s="14">
        <v>12585</v>
      </c>
      <c r="E62" s="18">
        <v>5.5410000000000004</v>
      </c>
      <c r="F62" s="14">
        <v>4104</v>
      </c>
      <c r="G62" s="18">
        <v>0.28899999999999998</v>
      </c>
      <c r="H62" s="18">
        <v>52.63</v>
      </c>
      <c r="I62" s="14">
        <v>156837</v>
      </c>
      <c r="J62" s="14">
        <v>6947.3292000000001</v>
      </c>
      <c r="K62" s="2">
        <v>533</v>
      </c>
      <c r="L62" s="18">
        <v>45.317999999999998</v>
      </c>
      <c r="M62" s="14">
        <v>2023992</v>
      </c>
      <c r="N62" s="4">
        <v>5.0999999999999996</v>
      </c>
      <c r="O62" s="82">
        <v>3.5069444444444445E-3</v>
      </c>
      <c r="P62" s="86">
        <f t="shared" si="3"/>
        <v>303</v>
      </c>
      <c r="Q62" s="4" t="str" cm="1">
        <f t="array" ref="Q62">_xlfn.IFS(RawData[[#This Row],[Length (Sec)]]&lt;600, "Short", RawData[[#This Row],[Length (Sec)]]&lt;1200, "Mid", RawData[[#This Row],[Length (Sec)]]&gt;1199, "Long")</f>
        <v>Short</v>
      </c>
      <c r="R62" s="4" t="b">
        <f t="shared" ca="1" si="1"/>
        <v>0</v>
      </c>
      <c r="S62" s="4" t="b">
        <f t="shared" si="0"/>
        <v>1</v>
      </c>
      <c r="T62" s="4"/>
      <c r="U62" s="4"/>
      <c r="V62" s="4"/>
      <c r="W62" s="4"/>
      <c r="X62" s="4"/>
      <c r="Y62" s="4"/>
      <c r="Z62" s="4"/>
      <c r="AA62" s="4">
        <v>1</v>
      </c>
      <c r="AB62" s="4"/>
      <c r="AC62" s="4"/>
      <c r="AD62" s="4">
        <v>12.4</v>
      </c>
      <c r="AE62" s="4">
        <v>14.7</v>
      </c>
      <c r="AF62" s="4">
        <v>12.8</v>
      </c>
      <c r="AG62" s="4"/>
      <c r="AH62" s="4"/>
    </row>
    <row r="63" spans="1:34" ht="15" thickBot="1" x14ac:dyDescent="0.4">
      <c r="A63" s="1" t="s">
        <v>269</v>
      </c>
      <c r="B63" s="1" t="s">
        <v>35</v>
      </c>
      <c r="C63" s="10">
        <v>43997</v>
      </c>
      <c r="D63" s="14">
        <v>24612</v>
      </c>
      <c r="E63" s="18">
        <v>2.6560000000000001</v>
      </c>
      <c r="F63" s="14">
        <v>0</v>
      </c>
      <c r="G63" s="18">
        <v>0.93300000000000005</v>
      </c>
      <c r="H63" s="18">
        <v>5.35</v>
      </c>
      <c r="I63" s="14">
        <v>53906</v>
      </c>
      <c r="J63" s="14">
        <v>5411.7736000000004</v>
      </c>
      <c r="K63" s="2">
        <v>-42</v>
      </c>
      <c r="L63" s="18">
        <v>50.311</v>
      </c>
      <c r="M63" s="14">
        <v>1706684</v>
      </c>
      <c r="N63" s="4">
        <v>1.96</v>
      </c>
      <c r="O63" s="4"/>
      <c r="P63" s="79"/>
      <c r="Q63" s="4"/>
      <c r="R63" s="4" t="b">
        <f t="shared" ca="1" si="1"/>
        <v>0</v>
      </c>
      <c r="S63" s="4" t="b">
        <f t="shared" si="0"/>
        <v>1</v>
      </c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</row>
    <row r="64" spans="1:34" ht="15" thickBot="1" x14ac:dyDescent="0.4">
      <c r="A64" s="1" t="s">
        <v>276</v>
      </c>
      <c r="B64" s="1" t="s">
        <v>35</v>
      </c>
      <c r="C64" s="10">
        <v>43996</v>
      </c>
      <c r="D64" s="14">
        <v>12936</v>
      </c>
      <c r="E64" s="18">
        <v>2.718</v>
      </c>
      <c r="F64" s="14">
        <v>0</v>
      </c>
      <c r="G64" s="18">
        <v>1.0189999999999999</v>
      </c>
      <c r="H64" s="18">
        <v>6.64</v>
      </c>
      <c r="I64" s="14">
        <v>24387</v>
      </c>
      <c r="J64" s="14">
        <v>2446.3510000000001</v>
      </c>
      <c r="K64" s="2">
        <v>-81</v>
      </c>
      <c r="L64" s="18">
        <v>24.846</v>
      </c>
      <c r="M64" s="14">
        <v>1482847</v>
      </c>
      <c r="N64" s="4">
        <v>0.89</v>
      </c>
      <c r="O64" s="4"/>
      <c r="P64" s="79"/>
      <c r="Q64" s="4"/>
      <c r="R64" s="4" t="b">
        <f t="shared" ca="1" si="1"/>
        <v>0</v>
      </c>
      <c r="S64" s="4" t="b">
        <f t="shared" si="0"/>
        <v>1</v>
      </c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</row>
    <row r="65" spans="1:34" ht="15" thickBot="1" x14ac:dyDescent="0.4">
      <c r="A65" s="1" t="s">
        <v>62</v>
      </c>
      <c r="B65" s="1" t="s">
        <v>36</v>
      </c>
      <c r="C65" s="10">
        <v>43996</v>
      </c>
      <c r="D65" s="14">
        <v>163158</v>
      </c>
      <c r="E65" s="18">
        <v>2.7469999999999999</v>
      </c>
      <c r="F65" s="14">
        <v>10305</v>
      </c>
      <c r="G65" s="18">
        <v>1.1160000000000001</v>
      </c>
      <c r="H65" s="18">
        <v>47.62</v>
      </c>
      <c r="I65" s="14">
        <v>249641</v>
      </c>
      <c r="J65" s="14">
        <v>11491.967500000001</v>
      </c>
      <c r="K65" s="2">
        <v>4041</v>
      </c>
      <c r="L65" s="18">
        <v>278.52800000000002</v>
      </c>
      <c r="M65" s="14">
        <v>4042819</v>
      </c>
      <c r="N65" s="4">
        <v>4.29</v>
      </c>
      <c r="O65" s="82">
        <v>4.0277777777777777E-3</v>
      </c>
      <c r="P65" s="86">
        <f>60*MINUTE(O65) + SECOND(O65)</f>
        <v>348</v>
      </c>
      <c r="Q65" s="4" t="str" cm="1">
        <f t="array" ref="Q65">_xlfn.IFS(RawData[[#This Row],[Length (Sec)]]&lt;600, "Short", RawData[[#This Row],[Length (Sec)]]&lt;1200, "Mid", RawData[[#This Row],[Length (Sec)]]&gt;1199, "Long")</f>
        <v>Short</v>
      </c>
      <c r="R65" s="4" t="b">
        <f t="shared" ca="1" si="1"/>
        <v>0</v>
      </c>
      <c r="S65" s="4" t="b">
        <f t="shared" si="0"/>
        <v>1</v>
      </c>
      <c r="T65" s="4"/>
      <c r="U65" s="4"/>
      <c r="V65" s="4"/>
      <c r="W65" s="4"/>
      <c r="X65" s="4"/>
      <c r="Y65" s="4"/>
      <c r="Z65" s="4"/>
      <c r="AA65" s="4">
        <v>1</v>
      </c>
      <c r="AB65" s="4">
        <v>1</v>
      </c>
      <c r="AC65" s="4"/>
      <c r="AD65" s="4">
        <v>16.399999999999999</v>
      </c>
      <c r="AE65" s="4">
        <v>13.7</v>
      </c>
      <c r="AF65" s="4">
        <v>9.6</v>
      </c>
      <c r="AG65" s="4"/>
      <c r="AH65" s="4">
        <v>1</v>
      </c>
    </row>
    <row r="66" spans="1:34" ht="15" thickBot="1" x14ac:dyDescent="0.4">
      <c r="A66" s="1" t="s">
        <v>182</v>
      </c>
      <c r="B66" s="1" t="s">
        <v>17</v>
      </c>
      <c r="C66" s="10">
        <v>43994</v>
      </c>
      <c r="D66" s="14">
        <v>194847</v>
      </c>
      <c r="E66" s="18">
        <v>3.153</v>
      </c>
      <c r="F66" s="14">
        <v>205</v>
      </c>
      <c r="G66" s="18">
        <v>1.4850000000000001</v>
      </c>
      <c r="H66" s="18">
        <v>20</v>
      </c>
      <c r="I66" s="14">
        <v>271147</v>
      </c>
      <c r="J66" s="14">
        <v>27558.770700000001</v>
      </c>
      <c r="K66" s="2">
        <v>297</v>
      </c>
      <c r="L66" s="18">
        <v>401.71100000000001</v>
      </c>
      <c r="M66" s="14">
        <v>5320425</v>
      </c>
      <c r="N66" s="4">
        <v>3.7</v>
      </c>
      <c r="O66" s="82">
        <v>2.1168981481481483E-2</v>
      </c>
      <c r="P66" s="86">
        <f>60*MINUTE(O66) + SECOND(O66)</f>
        <v>1829</v>
      </c>
      <c r="Q66" s="4" t="str" cm="1">
        <f t="array" ref="Q66">_xlfn.IFS(RawData[[#This Row],[Length (Sec)]]&lt;600, "Short", RawData[[#This Row],[Length (Sec)]]&lt;1200, "Mid", RawData[[#This Row],[Length (Sec)]]&gt;1199, "Long")</f>
        <v>Long</v>
      </c>
      <c r="R66" s="4" t="b">
        <f t="shared" ref="R66:R129" ca="1" si="4">IF(DATEDIF(C66,TODAY(),"d")&gt;365,FALSE, TRUE)</f>
        <v>0</v>
      </c>
      <c r="S66" s="4" t="b">
        <f t="shared" ref="S66:S129" si="5">IF(I66&lt;15000,FALSE, TRUE)</f>
        <v>1</v>
      </c>
      <c r="T66" s="4">
        <v>1</v>
      </c>
      <c r="U66" s="4"/>
      <c r="V66" s="4">
        <v>1</v>
      </c>
      <c r="W66" s="4"/>
      <c r="X66" s="4">
        <v>1</v>
      </c>
      <c r="Y66" s="4"/>
      <c r="Z66" s="4">
        <v>1</v>
      </c>
      <c r="AA66" s="4"/>
      <c r="AB66" s="4"/>
      <c r="AC66" s="4">
        <v>1</v>
      </c>
      <c r="AD66" s="4">
        <v>16.7</v>
      </c>
      <c r="AE66" s="4">
        <v>12.7</v>
      </c>
      <c r="AF66" s="4">
        <v>17.399999999999999</v>
      </c>
      <c r="AG66" s="4"/>
      <c r="AH66" s="4"/>
    </row>
    <row r="67" spans="1:34" ht="15" thickBot="1" x14ac:dyDescent="0.4">
      <c r="A67" s="1" t="s">
        <v>134</v>
      </c>
      <c r="B67" s="1" t="s">
        <v>19</v>
      </c>
      <c r="C67" s="10">
        <v>43992</v>
      </c>
      <c r="D67" s="14">
        <v>15072</v>
      </c>
      <c r="E67" s="18">
        <v>4.4610000000000003</v>
      </c>
      <c r="F67" s="14">
        <v>1020</v>
      </c>
      <c r="G67" s="18">
        <v>0.39800000000000002</v>
      </c>
      <c r="H67" s="18">
        <v>51.29</v>
      </c>
      <c r="I67" s="14">
        <v>129160</v>
      </c>
      <c r="J67" s="14">
        <v>8850.8392000000003</v>
      </c>
      <c r="K67" s="2">
        <v>233</v>
      </c>
      <c r="L67" s="18">
        <v>51.345999999999997</v>
      </c>
      <c r="M67" s="14">
        <v>2598951</v>
      </c>
      <c r="N67" s="4">
        <v>3.5</v>
      </c>
      <c r="O67" s="82">
        <v>5.5671296296296302E-3</v>
      </c>
      <c r="P67" s="86">
        <f>60*MINUTE(O67) + SECOND(O67)</f>
        <v>481</v>
      </c>
      <c r="Q67" s="4" t="str" cm="1">
        <f t="array" ref="Q67">_xlfn.IFS(RawData[[#This Row],[Length (Sec)]]&lt;600, "Short", RawData[[#This Row],[Length (Sec)]]&lt;1200, "Mid", RawData[[#This Row],[Length (Sec)]]&gt;1199, "Long")</f>
        <v>Short</v>
      </c>
      <c r="R67" s="4" t="b">
        <f t="shared" ca="1" si="4"/>
        <v>0</v>
      </c>
      <c r="S67" s="4" t="b">
        <f t="shared" si="5"/>
        <v>1</v>
      </c>
      <c r="T67" s="4">
        <v>1</v>
      </c>
      <c r="U67" s="4">
        <v>1</v>
      </c>
      <c r="V67" s="4">
        <v>1</v>
      </c>
      <c r="W67" s="4">
        <v>1</v>
      </c>
      <c r="X67" s="4"/>
      <c r="Y67" s="4"/>
      <c r="Z67" s="4"/>
      <c r="AA67" s="4"/>
      <c r="AB67" s="4">
        <v>1</v>
      </c>
      <c r="AC67" s="4"/>
      <c r="AD67" s="4">
        <v>13.1</v>
      </c>
      <c r="AE67" s="4">
        <v>12.3</v>
      </c>
      <c r="AF67" s="4">
        <v>14.2</v>
      </c>
      <c r="AG67" s="4"/>
      <c r="AH67" s="4"/>
    </row>
    <row r="68" spans="1:34" ht="15" thickBot="1" x14ac:dyDescent="0.4">
      <c r="A68" s="1" t="s">
        <v>108</v>
      </c>
      <c r="B68" s="1" t="s">
        <v>37</v>
      </c>
      <c r="C68" s="10">
        <v>43989</v>
      </c>
      <c r="D68" s="14">
        <v>222634</v>
      </c>
      <c r="E68" s="18">
        <v>4.38</v>
      </c>
      <c r="F68" s="14">
        <v>1902</v>
      </c>
      <c r="G68" s="18">
        <v>1.9870000000000001</v>
      </c>
      <c r="H68" s="18">
        <v>26.52</v>
      </c>
      <c r="I68" s="14">
        <v>344968</v>
      </c>
      <c r="J68" s="14">
        <v>20941.7631</v>
      </c>
      <c r="K68" s="2">
        <v>1818</v>
      </c>
      <c r="L68" s="18">
        <v>682.64599999999996</v>
      </c>
      <c r="M68" s="14">
        <v>5249394</v>
      </c>
      <c r="N68" s="4">
        <v>4.82</v>
      </c>
      <c r="O68" s="82">
        <v>9.5370370370370366E-3</v>
      </c>
      <c r="P68" s="86">
        <f>60*MINUTE(O68) + SECOND(O68)</f>
        <v>824</v>
      </c>
      <c r="Q68" s="4" t="str" cm="1">
        <f t="array" ref="Q68">_xlfn.IFS(RawData[[#This Row],[Length (Sec)]]&lt;600, "Short", RawData[[#This Row],[Length (Sec)]]&lt;1200, "Mid", RawData[[#This Row],[Length (Sec)]]&gt;1199, "Long")</f>
        <v>Mid</v>
      </c>
      <c r="R68" s="4" t="b">
        <f t="shared" ca="1" si="4"/>
        <v>0</v>
      </c>
      <c r="S68" s="4" t="b">
        <f t="shared" si="5"/>
        <v>1</v>
      </c>
      <c r="T68" s="4"/>
      <c r="U68" s="4"/>
      <c r="V68" s="4"/>
      <c r="W68" s="4"/>
      <c r="X68" s="4"/>
      <c r="Y68" s="4"/>
      <c r="Z68" s="4"/>
      <c r="AA68" s="4">
        <v>1</v>
      </c>
      <c r="AB68" s="4"/>
      <c r="AC68" s="4"/>
      <c r="AD68" s="4">
        <v>12.5</v>
      </c>
      <c r="AE68" s="4">
        <v>22.3</v>
      </c>
      <c r="AF68" s="4">
        <v>9.8000000000000007</v>
      </c>
      <c r="AG68" s="4"/>
      <c r="AH68" s="4">
        <v>1</v>
      </c>
    </row>
    <row r="69" spans="1:34" ht="15" thickBot="1" x14ac:dyDescent="0.4">
      <c r="A69" s="1" t="s">
        <v>310</v>
      </c>
      <c r="B69" s="1" t="s">
        <v>35</v>
      </c>
      <c r="C69" s="10">
        <v>43988</v>
      </c>
      <c r="D69" s="14">
        <v>24078</v>
      </c>
      <c r="E69" s="18">
        <v>3.8159999999999998</v>
      </c>
      <c r="F69" s="14">
        <v>0</v>
      </c>
      <c r="G69" s="18">
        <v>1.6910000000000001</v>
      </c>
      <c r="H69" s="18">
        <v>7.25</v>
      </c>
      <c r="I69" s="14">
        <v>43400</v>
      </c>
      <c r="J69" s="14">
        <v>6372.8122000000003</v>
      </c>
      <c r="K69" s="2">
        <v>-41</v>
      </c>
      <c r="L69" s="18">
        <v>73.400000000000006</v>
      </c>
      <c r="M69" s="14">
        <v>1666600</v>
      </c>
      <c r="N69" s="4">
        <v>1.53</v>
      </c>
      <c r="O69" s="4"/>
      <c r="P69" s="79"/>
      <c r="Q69" s="4"/>
      <c r="R69" s="4" t="b">
        <f t="shared" ca="1" si="4"/>
        <v>0</v>
      </c>
      <c r="S69" s="4" t="b">
        <f t="shared" si="5"/>
        <v>1</v>
      </c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</row>
    <row r="70" spans="1:34" ht="15" thickBot="1" x14ac:dyDescent="0.4">
      <c r="A70" s="1" t="s">
        <v>362</v>
      </c>
      <c r="B70" s="1" t="s">
        <v>17</v>
      </c>
      <c r="C70" s="10">
        <v>43987</v>
      </c>
      <c r="D70" s="14">
        <v>0</v>
      </c>
      <c r="E70" s="19"/>
      <c r="F70" s="14">
        <v>0</v>
      </c>
      <c r="G70" s="18">
        <v>0</v>
      </c>
      <c r="H70" s="18">
        <v>34.31</v>
      </c>
      <c r="I70" s="14">
        <v>128585</v>
      </c>
      <c r="J70" s="14">
        <v>11995.855299999999</v>
      </c>
      <c r="K70" s="2">
        <v>418</v>
      </c>
      <c r="L70" s="18">
        <v>0</v>
      </c>
      <c r="M70" s="14">
        <v>2765841</v>
      </c>
      <c r="N70" s="4">
        <v>3.34</v>
      </c>
      <c r="O70" s="82">
        <v>1.1331018518518518E-2</v>
      </c>
      <c r="P70" s="86">
        <f>60*MINUTE(O70) + SECOND(O70)</f>
        <v>979</v>
      </c>
      <c r="Q70" s="4" t="str" cm="1">
        <f t="array" ref="Q70">_xlfn.IFS(RawData[[#This Row],[Length (Sec)]]&lt;600, "Short", RawData[[#This Row],[Length (Sec)]]&lt;1200, "Mid", RawData[[#This Row],[Length (Sec)]]&gt;1199, "Long")</f>
        <v>Mid</v>
      </c>
      <c r="R70" s="4" t="b">
        <f t="shared" ca="1" si="4"/>
        <v>0</v>
      </c>
      <c r="S70" s="4" t="b">
        <f t="shared" si="5"/>
        <v>1</v>
      </c>
      <c r="T70" s="4">
        <v>1</v>
      </c>
      <c r="U70" s="4"/>
      <c r="V70" s="4"/>
      <c r="W70" s="4"/>
      <c r="X70" s="4">
        <v>1</v>
      </c>
      <c r="Y70" s="4"/>
      <c r="Z70" s="4"/>
      <c r="AA70" s="4"/>
      <c r="AB70" s="4"/>
      <c r="AC70" s="4">
        <v>1</v>
      </c>
      <c r="AD70" s="4">
        <v>7.7</v>
      </c>
      <c r="AE70" s="4">
        <v>15.9</v>
      </c>
      <c r="AF70" s="4">
        <v>22.3</v>
      </c>
      <c r="AG70" s="4"/>
      <c r="AH70" s="4"/>
    </row>
    <row r="71" spans="1:34" ht="15" thickBot="1" x14ac:dyDescent="0.4">
      <c r="A71" s="1" t="s">
        <v>72</v>
      </c>
      <c r="B71" s="1" t="s">
        <v>37</v>
      </c>
      <c r="C71" s="10">
        <v>43985</v>
      </c>
      <c r="D71" s="14">
        <v>155532</v>
      </c>
      <c r="E71" s="18">
        <v>6.5190000000000001</v>
      </c>
      <c r="F71" s="14">
        <v>6326</v>
      </c>
      <c r="G71" s="18">
        <v>1.9019999999999999</v>
      </c>
      <c r="H71" s="18">
        <v>40.25</v>
      </c>
      <c r="I71" s="14">
        <v>414135</v>
      </c>
      <c r="J71" s="14">
        <v>34402.739500000003</v>
      </c>
      <c r="K71" s="2">
        <v>2712</v>
      </c>
      <c r="L71" s="18">
        <v>785.93399999999997</v>
      </c>
      <c r="M71" s="14">
        <v>6648001</v>
      </c>
      <c r="N71" s="4">
        <v>4.29</v>
      </c>
      <c r="O71" s="82">
        <v>8.5995370370370357E-3</v>
      </c>
      <c r="P71" s="86">
        <f>60*MINUTE(O71) + SECOND(O71)</f>
        <v>743</v>
      </c>
      <c r="Q71" s="4" t="str" cm="1">
        <f t="array" ref="Q71">_xlfn.IFS(RawData[[#This Row],[Length (Sec)]]&lt;600, "Short", RawData[[#This Row],[Length (Sec)]]&lt;1200, "Mid", RawData[[#This Row],[Length (Sec)]]&gt;1199, "Long")</f>
        <v>Mid</v>
      </c>
      <c r="R71" s="4" t="b">
        <f t="shared" ca="1" si="4"/>
        <v>0</v>
      </c>
      <c r="S71" s="4" t="b">
        <f t="shared" si="5"/>
        <v>1</v>
      </c>
      <c r="T71" s="4"/>
      <c r="U71" s="4"/>
      <c r="V71" s="4"/>
      <c r="W71" s="4">
        <v>1</v>
      </c>
      <c r="X71" s="4"/>
      <c r="Y71" s="4"/>
      <c r="Z71" s="4"/>
      <c r="AA71" s="4">
        <v>1</v>
      </c>
      <c r="AB71" s="4"/>
      <c r="AC71" s="4"/>
      <c r="AD71" s="4">
        <v>13.3</v>
      </c>
      <c r="AE71" s="4">
        <v>15.8</v>
      </c>
      <c r="AF71" s="4">
        <v>11.2</v>
      </c>
      <c r="AG71" s="4"/>
      <c r="AH71" s="4">
        <v>1</v>
      </c>
    </row>
    <row r="72" spans="1:34" ht="15" thickBot="1" x14ac:dyDescent="0.4">
      <c r="A72" s="1" t="s">
        <v>264</v>
      </c>
      <c r="B72" s="1" t="s">
        <v>35</v>
      </c>
      <c r="C72" s="10">
        <v>43982</v>
      </c>
      <c r="D72" s="14">
        <v>19052</v>
      </c>
      <c r="E72" s="18">
        <v>3.8610000000000002</v>
      </c>
      <c r="F72" s="14">
        <v>0</v>
      </c>
      <c r="G72" s="18">
        <v>1.7529999999999999</v>
      </c>
      <c r="H72" s="18">
        <v>5.38</v>
      </c>
      <c r="I72" s="14">
        <v>34246</v>
      </c>
      <c r="J72" s="14">
        <v>3816.5776999999998</v>
      </c>
      <c r="K72" s="2">
        <v>-37</v>
      </c>
      <c r="L72" s="18">
        <v>60.018999999999998</v>
      </c>
      <c r="M72" s="14">
        <v>1378562</v>
      </c>
      <c r="N72" s="4">
        <v>1.48</v>
      </c>
      <c r="O72" s="4"/>
      <c r="P72" s="79"/>
      <c r="Q72" s="4"/>
      <c r="R72" s="4" t="b">
        <f t="shared" ca="1" si="4"/>
        <v>0</v>
      </c>
      <c r="S72" s="4" t="b">
        <f t="shared" si="5"/>
        <v>1</v>
      </c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</row>
    <row r="73" spans="1:34" ht="15" thickBot="1" x14ac:dyDescent="0.4">
      <c r="A73" s="1" t="s">
        <v>151</v>
      </c>
      <c r="B73" s="1" t="s">
        <v>37</v>
      </c>
      <c r="C73" s="10">
        <v>43980</v>
      </c>
      <c r="D73" s="14">
        <v>33563</v>
      </c>
      <c r="E73" s="18">
        <v>4.8410000000000002</v>
      </c>
      <c r="F73" s="14">
        <v>541</v>
      </c>
      <c r="G73" s="18">
        <v>0.81100000000000005</v>
      </c>
      <c r="H73" s="18">
        <v>42.67</v>
      </c>
      <c r="I73" s="14">
        <v>122871</v>
      </c>
      <c r="J73" s="14">
        <v>3247.4740999999999</v>
      </c>
      <c r="K73" s="2">
        <v>416</v>
      </c>
      <c r="L73" s="18">
        <v>99.378</v>
      </c>
      <c r="M73" s="14">
        <v>1680632</v>
      </c>
      <c r="N73" s="4">
        <v>5.28</v>
      </c>
      <c r="O73" s="82">
        <v>2.5810185185185185E-3</v>
      </c>
      <c r="P73" s="86">
        <f>60*MINUTE(O73) + SECOND(O73)</f>
        <v>223</v>
      </c>
      <c r="Q73" s="4" t="str" cm="1">
        <f t="array" ref="Q73">_xlfn.IFS(RawData[[#This Row],[Length (Sec)]]&lt;600, "Short", RawData[[#This Row],[Length (Sec)]]&lt;1200, "Mid", RawData[[#This Row],[Length (Sec)]]&gt;1199, "Long")</f>
        <v>Short</v>
      </c>
      <c r="R73" s="4" t="b">
        <f t="shared" ca="1" si="4"/>
        <v>0</v>
      </c>
      <c r="S73" s="4" t="b">
        <f t="shared" si="5"/>
        <v>1</v>
      </c>
      <c r="T73" s="4"/>
      <c r="U73" s="4"/>
      <c r="V73" s="4"/>
      <c r="W73" s="4"/>
      <c r="X73" s="4"/>
      <c r="Y73" s="4"/>
      <c r="Z73" s="4"/>
      <c r="AA73" s="4">
        <v>1</v>
      </c>
      <c r="AB73" s="4"/>
      <c r="AC73" s="4"/>
      <c r="AD73" s="4">
        <v>12.2</v>
      </c>
      <c r="AE73" s="4">
        <v>11.9</v>
      </c>
      <c r="AF73" s="4">
        <v>11.3</v>
      </c>
      <c r="AG73" s="4"/>
      <c r="AH73" s="4">
        <v>1</v>
      </c>
    </row>
    <row r="74" spans="1:34" ht="15" thickBot="1" x14ac:dyDescent="0.4">
      <c r="A74" s="1" t="s">
        <v>424</v>
      </c>
      <c r="B74" s="1" t="s">
        <v>35</v>
      </c>
      <c r="C74" s="10">
        <v>43977</v>
      </c>
      <c r="D74" s="14">
        <v>18913</v>
      </c>
      <c r="E74" s="18">
        <v>3.6349999999999998</v>
      </c>
      <c r="F74" s="14">
        <v>0</v>
      </c>
      <c r="G74" s="18">
        <v>1.681</v>
      </c>
      <c r="H74" s="18">
        <v>8.6300000000000008</v>
      </c>
      <c r="I74" s="14">
        <v>33867</v>
      </c>
      <c r="J74" s="14">
        <v>5225.1403</v>
      </c>
      <c r="K74" s="2">
        <v>-18</v>
      </c>
      <c r="L74" s="18">
        <v>56.930999999999997</v>
      </c>
      <c r="M74" s="14">
        <v>1848192</v>
      </c>
      <c r="N74" s="4">
        <v>1.03</v>
      </c>
      <c r="O74" s="4"/>
      <c r="P74" s="79"/>
      <c r="Q74" s="4"/>
      <c r="R74" s="4" t="b">
        <f t="shared" ca="1" si="4"/>
        <v>0</v>
      </c>
      <c r="S74" s="4" t="b">
        <f t="shared" si="5"/>
        <v>1</v>
      </c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</row>
    <row r="75" spans="1:34" ht="15" thickBot="1" x14ac:dyDescent="0.4">
      <c r="A75" s="1" t="s">
        <v>102</v>
      </c>
      <c r="B75" s="1" t="s">
        <v>17</v>
      </c>
      <c r="C75" s="10">
        <v>43977</v>
      </c>
      <c r="D75" s="14">
        <v>37743</v>
      </c>
      <c r="E75" s="18">
        <v>3.2879999999999998</v>
      </c>
      <c r="F75" s="14">
        <v>2093</v>
      </c>
      <c r="G75" s="18">
        <v>0.35599999999999998</v>
      </c>
      <c r="H75" s="18">
        <v>53.53</v>
      </c>
      <c r="I75" s="14">
        <v>218190</v>
      </c>
      <c r="J75" s="14">
        <v>11192.2546</v>
      </c>
      <c r="K75" s="2">
        <v>653</v>
      </c>
      <c r="L75" s="18">
        <v>77.625</v>
      </c>
      <c r="M75" s="14">
        <v>3329077</v>
      </c>
      <c r="N75" s="4">
        <v>4.7300000000000004</v>
      </c>
      <c r="O75" s="82">
        <v>3.9930555555555561E-3</v>
      </c>
      <c r="P75" s="86">
        <f>60*MINUTE(O75) + SECOND(O75)</f>
        <v>345</v>
      </c>
      <c r="Q75" s="4" t="str" cm="1">
        <f t="array" ref="Q75">_xlfn.IFS(RawData[[#This Row],[Length (Sec)]]&lt;600, "Short", RawData[[#This Row],[Length (Sec)]]&lt;1200, "Mid", RawData[[#This Row],[Length (Sec)]]&gt;1199, "Long")</f>
        <v>Short</v>
      </c>
      <c r="R75" s="4" t="b">
        <f t="shared" ca="1" si="4"/>
        <v>0</v>
      </c>
      <c r="S75" s="4" t="b">
        <f t="shared" si="5"/>
        <v>1</v>
      </c>
      <c r="T75" s="4">
        <v>1</v>
      </c>
      <c r="U75" s="4">
        <v>1</v>
      </c>
      <c r="V75" s="4">
        <v>1</v>
      </c>
      <c r="W75" s="4"/>
      <c r="X75" s="4"/>
      <c r="Y75" s="4"/>
      <c r="Z75" s="4"/>
      <c r="AA75" s="4">
        <v>1</v>
      </c>
      <c r="AB75" s="4"/>
      <c r="AC75" s="4"/>
      <c r="AD75" s="4">
        <v>14</v>
      </c>
      <c r="AE75" s="4">
        <v>11.6</v>
      </c>
      <c r="AF75" s="4">
        <v>16.100000000000001</v>
      </c>
      <c r="AG75" s="4"/>
      <c r="AH75" s="4"/>
    </row>
    <row r="76" spans="1:34" ht="15" thickBot="1" x14ac:dyDescent="0.4">
      <c r="A76" s="1" t="s">
        <v>69</v>
      </c>
      <c r="B76" s="1" t="s">
        <v>19</v>
      </c>
      <c r="C76" s="10">
        <v>43970</v>
      </c>
      <c r="D76" s="14">
        <v>289485</v>
      </c>
      <c r="E76" s="18">
        <v>9.0630000000000006</v>
      </c>
      <c r="F76" s="14">
        <v>7093</v>
      </c>
      <c r="G76" s="18">
        <v>2.4940000000000002</v>
      </c>
      <c r="H76" s="18">
        <v>33.880000000000003</v>
      </c>
      <c r="I76" s="14">
        <v>651441</v>
      </c>
      <c r="J76" s="14">
        <v>67817.406600000002</v>
      </c>
      <c r="K76" s="2">
        <v>11533</v>
      </c>
      <c r="L76" s="18">
        <v>1620.1379999999999</v>
      </c>
      <c r="M76" s="14">
        <v>16786115</v>
      </c>
      <c r="N76" s="4">
        <v>2.5099999999999998</v>
      </c>
      <c r="O76" s="82">
        <v>1.2800925925925926E-2</v>
      </c>
      <c r="P76" s="86">
        <f>60*MINUTE(O76) + SECOND(O76)</f>
        <v>1106</v>
      </c>
      <c r="Q76" s="4" t="str" cm="1">
        <f t="array" ref="Q76">_xlfn.IFS(RawData[[#This Row],[Length (Sec)]]&lt;600, "Short", RawData[[#This Row],[Length (Sec)]]&lt;1200, "Mid", RawData[[#This Row],[Length (Sec)]]&gt;1199, "Long")</f>
        <v>Mid</v>
      </c>
      <c r="R76" s="4" t="b">
        <f t="shared" ca="1" si="4"/>
        <v>0</v>
      </c>
      <c r="S76" s="4" t="b">
        <f t="shared" si="5"/>
        <v>1</v>
      </c>
      <c r="T76" s="4">
        <v>1</v>
      </c>
      <c r="U76" s="4"/>
      <c r="V76" s="4"/>
      <c r="W76" s="4">
        <v>1</v>
      </c>
      <c r="X76" s="4">
        <v>1</v>
      </c>
      <c r="Y76" s="4"/>
      <c r="Z76" s="4"/>
      <c r="AA76" s="4">
        <v>1</v>
      </c>
      <c r="AB76" s="4"/>
      <c r="AC76" s="4">
        <v>1</v>
      </c>
      <c r="AD76" s="4">
        <v>12.9</v>
      </c>
      <c r="AE76" s="4">
        <v>15.4</v>
      </c>
      <c r="AF76" s="4">
        <v>14.8</v>
      </c>
      <c r="AG76" s="4"/>
      <c r="AH76" s="4"/>
    </row>
    <row r="77" spans="1:34" ht="15" thickBot="1" x14ac:dyDescent="0.4">
      <c r="A77" s="1" t="s">
        <v>247</v>
      </c>
      <c r="B77" s="1" t="s">
        <v>35</v>
      </c>
      <c r="C77" s="10">
        <v>43968</v>
      </c>
      <c r="D77" s="14">
        <v>49230</v>
      </c>
      <c r="E77" s="18">
        <v>5.2439999999999998</v>
      </c>
      <c r="F77" s="14">
        <v>0</v>
      </c>
      <c r="G77" s="18">
        <v>2.54</v>
      </c>
      <c r="H77" s="18">
        <v>5.98</v>
      </c>
      <c r="I77" s="14">
        <v>80783</v>
      </c>
      <c r="J77" s="14">
        <v>8699.6149999999998</v>
      </c>
      <c r="K77" s="2">
        <v>48</v>
      </c>
      <c r="L77" s="18">
        <v>205.10499999999999</v>
      </c>
      <c r="M77" s="14">
        <v>2429774</v>
      </c>
      <c r="N77" s="4">
        <v>2</v>
      </c>
      <c r="O77" s="4"/>
      <c r="P77" s="79"/>
      <c r="Q77" s="4"/>
      <c r="R77" s="4" t="b">
        <f t="shared" ca="1" si="4"/>
        <v>0</v>
      </c>
      <c r="S77" s="4" t="b">
        <f t="shared" si="5"/>
        <v>1</v>
      </c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</row>
    <row r="78" spans="1:34" ht="15" thickBot="1" x14ac:dyDescent="0.4">
      <c r="A78" s="1" t="s">
        <v>85</v>
      </c>
      <c r="B78" s="1" t="s">
        <v>17</v>
      </c>
      <c r="C78" s="10">
        <v>43968</v>
      </c>
      <c r="D78" s="14">
        <v>155345</v>
      </c>
      <c r="E78" s="18">
        <v>3.7570000000000001</v>
      </c>
      <c r="F78" s="14">
        <v>3612</v>
      </c>
      <c r="G78" s="18">
        <v>1.7330000000000001</v>
      </c>
      <c r="H78" s="18">
        <v>54.59</v>
      </c>
      <c r="I78" s="14">
        <v>225052</v>
      </c>
      <c r="J78" s="14">
        <v>15390.7019</v>
      </c>
      <c r="K78" s="2">
        <v>609</v>
      </c>
      <c r="L78" s="18">
        <v>389.43200000000002</v>
      </c>
      <c r="M78" s="14">
        <v>4558415</v>
      </c>
      <c r="N78" s="4">
        <v>3.58</v>
      </c>
      <c r="O78" s="82">
        <v>5.2199074074074066E-3</v>
      </c>
      <c r="P78" s="86">
        <f>60*MINUTE(O78) + SECOND(O78)</f>
        <v>451</v>
      </c>
      <c r="Q78" s="4" t="str" cm="1">
        <f t="array" ref="Q78">_xlfn.IFS(RawData[[#This Row],[Length (Sec)]]&lt;600, "Short", RawData[[#This Row],[Length (Sec)]]&lt;1200, "Mid", RawData[[#This Row],[Length (Sec)]]&gt;1199, "Long")</f>
        <v>Short</v>
      </c>
      <c r="R78" s="4" t="b">
        <f t="shared" ca="1" si="4"/>
        <v>0</v>
      </c>
      <c r="S78" s="4" t="b">
        <f t="shared" si="5"/>
        <v>1</v>
      </c>
      <c r="T78" s="4">
        <v>1</v>
      </c>
      <c r="U78" s="4"/>
      <c r="V78" s="4"/>
      <c r="W78" s="4">
        <v>1</v>
      </c>
      <c r="X78" s="4">
        <v>1</v>
      </c>
      <c r="Y78" s="4"/>
      <c r="Z78" s="4"/>
      <c r="AA78" s="4"/>
      <c r="AB78" s="4"/>
      <c r="AC78" s="4">
        <v>1</v>
      </c>
      <c r="AD78" s="4">
        <v>15.7</v>
      </c>
      <c r="AE78" s="4">
        <v>11.7</v>
      </c>
      <c r="AF78" s="4">
        <v>17.100000000000001</v>
      </c>
      <c r="AG78" s="4"/>
      <c r="AH78" s="4"/>
    </row>
    <row r="79" spans="1:34" ht="15" thickBot="1" x14ac:dyDescent="0.4">
      <c r="A79" s="1" t="s">
        <v>94</v>
      </c>
      <c r="B79" s="1" t="s">
        <v>37</v>
      </c>
      <c r="C79" s="10">
        <v>43966</v>
      </c>
      <c r="D79" s="14">
        <v>201567</v>
      </c>
      <c r="E79" s="18">
        <v>3.29</v>
      </c>
      <c r="F79" s="14">
        <v>2740</v>
      </c>
      <c r="G79" s="18">
        <v>1.3759999999999999</v>
      </c>
      <c r="H79" s="18">
        <v>32.409999999999997</v>
      </c>
      <c r="I79" s="14">
        <v>326135</v>
      </c>
      <c r="J79" s="14">
        <v>22551.694100000001</v>
      </c>
      <c r="K79" s="2">
        <v>649</v>
      </c>
      <c r="L79" s="18">
        <v>448.04399999999998</v>
      </c>
      <c r="M79" s="14">
        <v>4279246</v>
      </c>
      <c r="N79" s="4">
        <v>5.62</v>
      </c>
      <c r="O79" s="82">
        <v>8.8888888888888889E-3</v>
      </c>
      <c r="P79" s="86">
        <f>60*MINUTE(O79) + SECOND(O79)</f>
        <v>768</v>
      </c>
      <c r="Q79" s="4" t="str" cm="1">
        <f t="array" ref="Q79">_xlfn.IFS(RawData[[#This Row],[Length (Sec)]]&lt;600, "Short", RawData[[#This Row],[Length (Sec)]]&lt;1200, "Mid", RawData[[#This Row],[Length (Sec)]]&gt;1199, "Long")</f>
        <v>Mid</v>
      </c>
      <c r="R79" s="4" t="b">
        <f t="shared" ca="1" si="4"/>
        <v>0</v>
      </c>
      <c r="S79" s="4" t="b">
        <f t="shared" si="5"/>
        <v>1</v>
      </c>
      <c r="T79" s="4"/>
      <c r="U79" s="4"/>
      <c r="V79" s="4"/>
      <c r="W79" s="4"/>
      <c r="X79" s="4"/>
      <c r="Y79" s="4"/>
      <c r="Z79" s="4"/>
      <c r="AA79" s="4">
        <v>1</v>
      </c>
      <c r="AB79" s="4"/>
      <c r="AC79" s="4"/>
      <c r="AD79" s="4">
        <v>14.2</v>
      </c>
      <c r="AE79" s="4">
        <v>15.5</v>
      </c>
      <c r="AF79" s="4">
        <v>10.6</v>
      </c>
      <c r="AG79" s="4"/>
      <c r="AH79" s="4">
        <v>1</v>
      </c>
    </row>
    <row r="80" spans="1:34" ht="15" thickBot="1" x14ac:dyDescent="0.4">
      <c r="A80" s="1" t="s">
        <v>103</v>
      </c>
      <c r="B80" s="1" t="s">
        <v>17</v>
      </c>
      <c r="C80" s="10">
        <v>43963</v>
      </c>
      <c r="D80" s="14">
        <v>12611</v>
      </c>
      <c r="E80" s="18">
        <v>3.3610000000000002</v>
      </c>
      <c r="F80" s="14">
        <v>2027</v>
      </c>
      <c r="G80" s="18">
        <v>0.20399999999999999</v>
      </c>
      <c r="H80" s="18">
        <v>42.14</v>
      </c>
      <c r="I80" s="14">
        <v>149002</v>
      </c>
      <c r="J80" s="14">
        <v>8519.0838000000003</v>
      </c>
      <c r="K80" s="2">
        <v>178</v>
      </c>
      <c r="L80" s="18">
        <v>30.327999999999999</v>
      </c>
      <c r="M80" s="14">
        <v>2699324</v>
      </c>
      <c r="N80" s="4">
        <v>3.14</v>
      </c>
      <c r="O80" s="82">
        <v>5.6597222222222222E-3</v>
      </c>
      <c r="P80" s="86">
        <f>60*MINUTE(O80) + SECOND(O80)</f>
        <v>489</v>
      </c>
      <c r="Q80" s="4" t="str" cm="1">
        <f t="array" ref="Q80">_xlfn.IFS(RawData[[#This Row],[Length (Sec)]]&lt;600, "Short", RawData[[#This Row],[Length (Sec)]]&lt;1200, "Mid", RawData[[#This Row],[Length (Sec)]]&gt;1199, "Long")</f>
        <v>Short</v>
      </c>
      <c r="R80" s="4" t="b">
        <f t="shared" ca="1" si="4"/>
        <v>0</v>
      </c>
      <c r="S80" s="4" t="b">
        <f t="shared" si="5"/>
        <v>1</v>
      </c>
      <c r="T80" s="4">
        <v>1</v>
      </c>
      <c r="U80" s="4"/>
      <c r="V80" s="4">
        <v>1</v>
      </c>
      <c r="W80" s="4"/>
      <c r="X80" s="4"/>
      <c r="Y80" s="4"/>
      <c r="Z80" s="4"/>
      <c r="AA80" s="4">
        <v>1</v>
      </c>
      <c r="AB80" s="4"/>
      <c r="AC80" s="4"/>
      <c r="AD80" s="4">
        <v>12.9</v>
      </c>
      <c r="AE80" s="4">
        <v>11.7</v>
      </c>
      <c r="AF80" s="4">
        <v>14.4</v>
      </c>
      <c r="AG80" s="4"/>
      <c r="AH80" s="4"/>
    </row>
    <row r="81" spans="1:34" ht="15" thickBot="1" x14ac:dyDescent="0.4">
      <c r="A81" s="1" t="s">
        <v>364</v>
      </c>
      <c r="B81" s="1" t="s">
        <v>35</v>
      </c>
      <c r="C81" s="10">
        <v>43961</v>
      </c>
      <c r="D81" s="14">
        <v>33544</v>
      </c>
      <c r="E81" s="18">
        <v>4.4320000000000004</v>
      </c>
      <c r="F81" s="14">
        <v>0</v>
      </c>
      <c r="G81" s="18">
        <v>2.2749999999999999</v>
      </c>
      <c r="H81" s="18">
        <v>10.54</v>
      </c>
      <c r="I81" s="14">
        <v>58520</v>
      </c>
      <c r="J81" s="14">
        <v>11519.936600000001</v>
      </c>
      <c r="K81" s="2">
        <v>32</v>
      </c>
      <c r="L81" s="18">
        <v>133.10599999999999</v>
      </c>
      <c r="M81" s="14">
        <v>1973955</v>
      </c>
      <c r="N81" s="4">
        <v>1.68</v>
      </c>
      <c r="O81" s="4"/>
      <c r="P81" s="79"/>
      <c r="Q81" s="4"/>
      <c r="R81" s="4" t="b">
        <f t="shared" ca="1" si="4"/>
        <v>0</v>
      </c>
      <c r="S81" s="4" t="b">
        <f t="shared" si="5"/>
        <v>1</v>
      </c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</row>
    <row r="82" spans="1:34" ht="15" thickBot="1" x14ac:dyDescent="0.4">
      <c r="A82" s="1" t="s">
        <v>58</v>
      </c>
      <c r="B82" s="1" t="s">
        <v>36</v>
      </c>
      <c r="C82" s="10">
        <v>43961</v>
      </c>
      <c r="D82" s="14">
        <v>540988</v>
      </c>
      <c r="E82" s="18">
        <v>5.4370000000000003</v>
      </c>
      <c r="F82" s="14">
        <v>12309</v>
      </c>
      <c r="G82" s="18">
        <v>2.7269999999999999</v>
      </c>
      <c r="H82" s="18">
        <v>40.53</v>
      </c>
      <c r="I82" s="14">
        <v>729333</v>
      </c>
      <c r="J82" s="14">
        <v>55184.630599999997</v>
      </c>
      <c r="K82" s="2">
        <v>18142</v>
      </c>
      <c r="L82" s="18">
        <v>1983.8489999999999</v>
      </c>
      <c r="M82" s="14">
        <v>14166685</v>
      </c>
      <c r="N82" s="4">
        <v>3.04</v>
      </c>
      <c r="O82" s="82">
        <v>7.7777777777777767E-3</v>
      </c>
      <c r="P82" s="86">
        <f>60*MINUTE(O82) + SECOND(O82)</f>
        <v>672</v>
      </c>
      <c r="Q82" s="4" t="str" cm="1">
        <f t="array" ref="Q82">_xlfn.IFS(RawData[[#This Row],[Length (Sec)]]&lt;600, "Short", RawData[[#This Row],[Length (Sec)]]&lt;1200, "Mid", RawData[[#This Row],[Length (Sec)]]&gt;1199, "Long")</f>
        <v>Mid</v>
      </c>
      <c r="R82" s="4" t="b">
        <f t="shared" ca="1" si="4"/>
        <v>0</v>
      </c>
      <c r="S82" s="4" t="b">
        <f t="shared" si="5"/>
        <v>1</v>
      </c>
      <c r="T82" s="4"/>
      <c r="U82" s="4"/>
      <c r="V82" s="4"/>
      <c r="W82" s="4"/>
      <c r="X82" s="4"/>
      <c r="Y82" s="4"/>
      <c r="Z82" s="4"/>
      <c r="AA82" s="4"/>
      <c r="AB82" s="4">
        <v>1</v>
      </c>
      <c r="AC82" s="4"/>
      <c r="AD82" s="4">
        <v>18.899999999999999</v>
      </c>
      <c r="AE82" s="4">
        <v>14.8</v>
      </c>
      <c r="AF82" s="4">
        <v>8.1</v>
      </c>
      <c r="AG82" s="4"/>
      <c r="AH82" s="4">
        <v>1</v>
      </c>
    </row>
    <row r="83" spans="1:34" ht="15" thickBot="1" x14ac:dyDescent="0.4">
      <c r="A83" s="1" t="s">
        <v>111</v>
      </c>
      <c r="B83" s="1" t="s">
        <v>37</v>
      </c>
      <c r="C83" s="10">
        <v>43956</v>
      </c>
      <c r="D83" s="14">
        <v>193666</v>
      </c>
      <c r="E83" s="18">
        <v>5.641</v>
      </c>
      <c r="F83" s="14">
        <v>1819</v>
      </c>
      <c r="G83" s="18">
        <v>1.425</v>
      </c>
      <c r="H83" s="18">
        <v>28.68</v>
      </c>
      <c r="I83" s="14">
        <v>552924</v>
      </c>
      <c r="J83" s="14">
        <v>59024.064400000003</v>
      </c>
      <c r="K83" s="2">
        <v>6340</v>
      </c>
      <c r="L83" s="18">
        <v>786.36400000000003</v>
      </c>
      <c r="M83" s="14">
        <v>12864887</v>
      </c>
      <c r="N83" s="4">
        <v>2.99</v>
      </c>
      <c r="O83" s="82">
        <v>1.5509259259259257E-2</v>
      </c>
      <c r="P83" s="86">
        <f>60*MINUTE(O83) + SECOND(O83)</f>
        <v>1340</v>
      </c>
      <c r="Q83" s="4" t="str" cm="1">
        <f t="array" ref="Q83">_xlfn.IFS(RawData[[#This Row],[Length (Sec)]]&lt;600, "Short", RawData[[#This Row],[Length (Sec)]]&lt;1200, "Mid", RawData[[#This Row],[Length (Sec)]]&gt;1199, "Long")</f>
        <v>Long</v>
      </c>
      <c r="R83" s="4" t="b">
        <f t="shared" ca="1" si="4"/>
        <v>0</v>
      </c>
      <c r="S83" s="4" t="b">
        <f t="shared" si="5"/>
        <v>1</v>
      </c>
      <c r="T83" s="4">
        <v>1</v>
      </c>
      <c r="U83" s="4"/>
      <c r="V83" s="4">
        <v>1</v>
      </c>
      <c r="W83" s="4"/>
      <c r="X83" s="4"/>
      <c r="Y83" s="4"/>
      <c r="Z83" s="4"/>
      <c r="AA83" s="4">
        <v>1</v>
      </c>
      <c r="AB83" s="4"/>
      <c r="AC83" s="4">
        <v>1</v>
      </c>
      <c r="AD83" s="4">
        <v>7.6</v>
      </c>
      <c r="AE83" s="4">
        <v>23</v>
      </c>
      <c r="AF83" s="4">
        <v>11.5</v>
      </c>
      <c r="AG83" s="4">
        <v>1</v>
      </c>
      <c r="AH83" s="4"/>
    </row>
    <row r="84" spans="1:34" ht="15" thickBot="1" x14ac:dyDescent="0.4">
      <c r="A84" s="1" t="s">
        <v>53</v>
      </c>
      <c r="B84" s="1" t="s">
        <v>17</v>
      </c>
      <c r="C84" s="10">
        <v>43952</v>
      </c>
      <c r="D84" s="14">
        <v>742626</v>
      </c>
      <c r="E84" s="18">
        <v>5.3230000000000004</v>
      </c>
      <c r="F84" s="14">
        <v>27443</v>
      </c>
      <c r="G84" s="18">
        <v>1.7250000000000001</v>
      </c>
      <c r="H84" s="18">
        <v>21.54</v>
      </c>
      <c r="I84" s="14">
        <v>1774151</v>
      </c>
      <c r="J84" s="14">
        <v>198187.927</v>
      </c>
      <c r="K84" s="2">
        <v>36052</v>
      </c>
      <c r="L84" s="18">
        <v>3054.058</v>
      </c>
      <c r="M84" s="14">
        <v>34976921</v>
      </c>
      <c r="N84" s="4">
        <v>3.67</v>
      </c>
      <c r="O84" s="82">
        <v>2.1608796296296296E-2</v>
      </c>
      <c r="P84" s="86">
        <f>60*MINUTE(O84) + SECOND(O84)</f>
        <v>1867</v>
      </c>
      <c r="Q84" s="4" t="str" cm="1">
        <f t="array" ref="Q84">_xlfn.IFS(RawData[[#This Row],[Length (Sec)]]&lt;600, "Short", RawData[[#This Row],[Length (Sec)]]&lt;1200, "Mid", RawData[[#This Row],[Length (Sec)]]&gt;1199, "Long")</f>
        <v>Long</v>
      </c>
      <c r="R84" s="4" t="b">
        <f t="shared" ca="1" si="4"/>
        <v>0</v>
      </c>
      <c r="S84" s="4" t="b">
        <f t="shared" si="5"/>
        <v>1</v>
      </c>
      <c r="T84" s="4">
        <v>1</v>
      </c>
      <c r="U84" s="4"/>
      <c r="V84" s="4"/>
      <c r="W84" s="4"/>
      <c r="X84" s="4">
        <v>1</v>
      </c>
      <c r="Y84" s="4"/>
      <c r="Z84" s="4"/>
      <c r="AA84" s="4"/>
      <c r="AB84" s="4"/>
      <c r="AC84" s="4">
        <v>1</v>
      </c>
      <c r="AD84" s="4">
        <v>7.5</v>
      </c>
      <c r="AE84" s="4">
        <v>20.100000000000001</v>
      </c>
      <c r="AF84" s="4">
        <v>20.7</v>
      </c>
      <c r="AG84" s="4"/>
      <c r="AH84" s="4"/>
    </row>
    <row r="85" spans="1:34" ht="15" thickBot="1" x14ac:dyDescent="0.4">
      <c r="A85" s="1" t="s">
        <v>386</v>
      </c>
      <c r="B85" s="1" t="s">
        <v>35</v>
      </c>
      <c r="C85" s="10">
        <v>43950</v>
      </c>
      <c r="D85" s="14">
        <v>28381</v>
      </c>
      <c r="E85" s="18">
        <v>4.077</v>
      </c>
      <c r="F85" s="14">
        <v>0</v>
      </c>
      <c r="G85" s="18">
        <v>2.0209999999999999</v>
      </c>
      <c r="H85" s="18">
        <v>10.16</v>
      </c>
      <c r="I85" s="14">
        <v>57874</v>
      </c>
      <c r="J85" s="14">
        <v>11527.7389</v>
      </c>
      <c r="K85" s="2">
        <v>60</v>
      </c>
      <c r="L85" s="18">
        <v>116.93300000000001</v>
      </c>
      <c r="M85" s="14">
        <v>2512544</v>
      </c>
      <c r="N85" s="4">
        <v>1.4</v>
      </c>
      <c r="O85" s="4"/>
      <c r="P85" s="79"/>
      <c r="Q85" s="4"/>
      <c r="R85" s="4" t="b">
        <f t="shared" ca="1" si="4"/>
        <v>0</v>
      </c>
      <c r="S85" s="4" t="b">
        <f t="shared" si="5"/>
        <v>1</v>
      </c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</row>
    <row r="86" spans="1:34" ht="15" thickBot="1" x14ac:dyDescent="0.4">
      <c r="A86" s="1" t="s">
        <v>369</v>
      </c>
      <c r="B86" s="1" t="s">
        <v>18</v>
      </c>
      <c r="C86" s="10">
        <v>43949</v>
      </c>
      <c r="D86" s="14">
        <v>205714</v>
      </c>
      <c r="E86" s="18">
        <v>4.4089999999999998</v>
      </c>
      <c r="F86" s="14">
        <v>0</v>
      </c>
      <c r="G86" s="18">
        <v>2.4900000000000002</v>
      </c>
      <c r="H86" s="18">
        <v>13.11</v>
      </c>
      <c r="I86" s="14">
        <v>486986</v>
      </c>
      <c r="J86" s="14">
        <v>222472.4957</v>
      </c>
      <c r="K86" s="2">
        <v>1862</v>
      </c>
      <c r="L86" s="18">
        <v>1207.9760000000001</v>
      </c>
      <c r="M86" s="14">
        <v>8675786</v>
      </c>
      <c r="N86" s="4">
        <v>3.7</v>
      </c>
      <c r="O86" s="82">
        <v>0.14523148148148149</v>
      </c>
      <c r="P86" s="86">
        <f t="shared" ref="P86:P92" si="6">60*MINUTE(O86) + SECOND(O86)</f>
        <v>1748</v>
      </c>
      <c r="Q86" s="4" t="str" cm="1">
        <f t="array" ref="Q86">_xlfn.IFS(RawData[[#This Row],[Length (Sec)]]&lt;600, "Short", RawData[[#This Row],[Length (Sec)]]&lt;1200, "Mid", RawData[[#This Row],[Length (Sec)]]&gt;1199, "Long")</f>
        <v>Long</v>
      </c>
      <c r="R86" s="4" t="b">
        <f t="shared" ca="1" si="4"/>
        <v>0</v>
      </c>
      <c r="S86" s="4" t="b">
        <f t="shared" si="5"/>
        <v>1</v>
      </c>
      <c r="T86" s="4"/>
      <c r="U86" s="4"/>
      <c r="V86" s="4">
        <v>1</v>
      </c>
      <c r="W86" s="4"/>
      <c r="X86" s="4"/>
      <c r="Y86" s="4">
        <v>1</v>
      </c>
      <c r="Z86" s="4"/>
      <c r="AA86" s="4">
        <v>1</v>
      </c>
      <c r="AB86" s="4"/>
      <c r="AC86" s="4"/>
      <c r="AD86" s="4">
        <v>12.7</v>
      </c>
      <c r="AE86" s="4">
        <v>15.1</v>
      </c>
      <c r="AF86" s="4">
        <v>10.7</v>
      </c>
      <c r="AG86" s="4"/>
      <c r="AH86" s="4"/>
    </row>
    <row r="87" spans="1:34" ht="15" thickBot="1" x14ac:dyDescent="0.4">
      <c r="A87" s="1" t="s">
        <v>65</v>
      </c>
      <c r="B87" s="1" t="s">
        <v>36</v>
      </c>
      <c r="C87" s="10">
        <v>43947</v>
      </c>
      <c r="D87" s="14">
        <v>455168</v>
      </c>
      <c r="E87" s="18">
        <v>5.0529999999999999</v>
      </c>
      <c r="F87" s="14">
        <v>8631</v>
      </c>
      <c r="G87" s="18">
        <v>2.2250000000000001</v>
      </c>
      <c r="H87" s="18">
        <v>41.45</v>
      </c>
      <c r="I87" s="14">
        <v>708806</v>
      </c>
      <c r="J87" s="14">
        <v>61379.092600000004</v>
      </c>
      <c r="K87" s="2">
        <v>15701</v>
      </c>
      <c r="L87" s="18">
        <v>1574.251</v>
      </c>
      <c r="M87" s="14">
        <v>17443621</v>
      </c>
      <c r="N87" s="4">
        <v>2.68</v>
      </c>
      <c r="O87" s="82">
        <v>8.7037037037037031E-3</v>
      </c>
      <c r="P87" s="86">
        <f t="shared" si="6"/>
        <v>752</v>
      </c>
      <c r="Q87" s="4" t="str" cm="1">
        <f t="array" ref="Q87">_xlfn.IFS(RawData[[#This Row],[Length (Sec)]]&lt;600, "Short", RawData[[#This Row],[Length (Sec)]]&lt;1200, "Mid", RawData[[#This Row],[Length (Sec)]]&gt;1199, "Long")</f>
        <v>Mid</v>
      </c>
      <c r="R87" s="4" t="b">
        <f t="shared" ca="1" si="4"/>
        <v>0</v>
      </c>
      <c r="S87" s="4" t="b">
        <f t="shared" si="5"/>
        <v>1</v>
      </c>
      <c r="T87" s="4"/>
      <c r="U87" s="4"/>
      <c r="V87" s="4"/>
      <c r="W87" s="4"/>
      <c r="X87" s="4"/>
      <c r="Y87" s="4"/>
      <c r="Z87" s="4"/>
      <c r="AA87" s="4"/>
      <c r="AB87" s="4">
        <v>1</v>
      </c>
      <c r="AC87" s="4"/>
      <c r="AD87" s="4">
        <v>14</v>
      </c>
      <c r="AE87" s="4">
        <v>15.5</v>
      </c>
      <c r="AF87" s="4">
        <v>9.6</v>
      </c>
      <c r="AG87" s="4"/>
      <c r="AH87" s="4">
        <v>1</v>
      </c>
    </row>
    <row r="88" spans="1:34" ht="15" thickBot="1" x14ac:dyDescent="0.4">
      <c r="A88" s="1" t="s">
        <v>66</v>
      </c>
      <c r="B88" s="1" t="s">
        <v>37</v>
      </c>
      <c r="C88" s="10">
        <v>43944</v>
      </c>
      <c r="D88" s="14">
        <v>226994</v>
      </c>
      <c r="E88" s="18">
        <v>4.05</v>
      </c>
      <c r="F88" s="14">
        <v>8394</v>
      </c>
      <c r="G88" s="18">
        <v>1.7130000000000001</v>
      </c>
      <c r="H88" s="18">
        <v>43.51</v>
      </c>
      <c r="I88" s="14">
        <v>370379</v>
      </c>
      <c r="J88" s="14">
        <v>27890.781800000001</v>
      </c>
      <c r="K88" s="2">
        <v>2030</v>
      </c>
      <c r="L88" s="18">
        <v>633.65899999999999</v>
      </c>
      <c r="M88" s="14">
        <v>7056226</v>
      </c>
      <c r="N88" s="4">
        <v>3.71</v>
      </c>
      <c r="O88" s="82">
        <v>7.2106481481481475E-3</v>
      </c>
      <c r="P88" s="86">
        <f t="shared" si="6"/>
        <v>623</v>
      </c>
      <c r="Q88" s="4" t="str" cm="1">
        <f t="array" ref="Q88">_xlfn.IFS(RawData[[#This Row],[Length (Sec)]]&lt;600, "Short", RawData[[#This Row],[Length (Sec)]]&lt;1200, "Mid", RawData[[#This Row],[Length (Sec)]]&gt;1199, "Long")</f>
        <v>Mid</v>
      </c>
      <c r="R88" s="4" t="b">
        <f t="shared" ca="1" si="4"/>
        <v>0</v>
      </c>
      <c r="S88" s="4" t="b">
        <f t="shared" si="5"/>
        <v>1</v>
      </c>
      <c r="T88" s="4"/>
      <c r="U88" s="4"/>
      <c r="V88" s="4"/>
      <c r="W88" s="4"/>
      <c r="X88" s="4"/>
      <c r="Y88" s="4">
        <v>1</v>
      </c>
      <c r="Z88" s="4"/>
      <c r="AA88" s="4">
        <v>1</v>
      </c>
      <c r="AB88" s="4"/>
      <c r="AC88" s="4"/>
      <c r="AD88" s="4">
        <v>7.9</v>
      </c>
      <c r="AE88" s="4">
        <v>23.1</v>
      </c>
      <c r="AF88" s="4">
        <v>10.8</v>
      </c>
      <c r="AG88" s="4"/>
      <c r="AH88" s="4"/>
    </row>
    <row r="89" spans="1:34" ht="15" thickBot="1" x14ac:dyDescent="0.4">
      <c r="A89" s="1" t="s">
        <v>64</v>
      </c>
      <c r="B89" s="1" t="s">
        <v>37</v>
      </c>
      <c r="C89" s="10">
        <v>43941</v>
      </c>
      <c r="D89" s="14">
        <v>236707</v>
      </c>
      <c r="E89" s="18">
        <v>4.2729999999999997</v>
      </c>
      <c r="F89" s="14">
        <v>8964</v>
      </c>
      <c r="G89" s="18">
        <v>1.851</v>
      </c>
      <c r="H89" s="18">
        <v>39.549999999999997</v>
      </c>
      <c r="I89" s="14">
        <v>360779</v>
      </c>
      <c r="J89" s="14">
        <v>20652.270100000002</v>
      </c>
      <c r="K89" s="2">
        <v>1618</v>
      </c>
      <c r="L89" s="18">
        <v>666.32899999999995</v>
      </c>
      <c r="M89" s="14">
        <v>5425597</v>
      </c>
      <c r="N89" s="4">
        <v>4.6399999999999997</v>
      </c>
      <c r="O89" s="82">
        <v>6.030092592592593E-3</v>
      </c>
      <c r="P89" s="86">
        <f t="shared" si="6"/>
        <v>521</v>
      </c>
      <c r="Q89" s="4" t="str" cm="1">
        <f t="array" ref="Q89">_xlfn.IFS(RawData[[#This Row],[Length (Sec)]]&lt;600, "Short", RawData[[#This Row],[Length (Sec)]]&lt;1200, "Mid", RawData[[#This Row],[Length (Sec)]]&gt;1199, "Long")</f>
        <v>Short</v>
      </c>
      <c r="R89" s="4" t="b">
        <f t="shared" ca="1" si="4"/>
        <v>0</v>
      </c>
      <c r="S89" s="4" t="b">
        <f t="shared" si="5"/>
        <v>1</v>
      </c>
      <c r="T89" s="4"/>
      <c r="U89" s="4"/>
      <c r="V89" s="4"/>
      <c r="W89" s="4"/>
      <c r="X89" s="4"/>
      <c r="Y89" s="4"/>
      <c r="Z89" s="4"/>
      <c r="AA89" s="4">
        <v>1</v>
      </c>
      <c r="AB89" s="4"/>
      <c r="AC89" s="4"/>
      <c r="AD89" s="4">
        <v>14</v>
      </c>
      <c r="AE89" s="4">
        <v>19.5</v>
      </c>
      <c r="AF89" s="4">
        <v>9.5</v>
      </c>
      <c r="AG89" s="4"/>
      <c r="AH89" s="4">
        <v>1</v>
      </c>
    </row>
    <row r="90" spans="1:34" ht="15" thickBot="1" x14ac:dyDescent="0.4">
      <c r="A90" s="1" t="s">
        <v>89</v>
      </c>
      <c r="B90" s="1" t="s">
        <v>17</v>
      </c>
      <c r="C90" s="10">
        <v>43940</v>
      </c>
      <c r="D90" s="14">
        <v>110877</v>
      </c>
      <c r="E90" s="18">
        <v>3.5539999999999998</v>
      </c>
      <c r="F90" s="14">
        <v>3275</v>
      </c>
      <c r="G90" s="18">
        <v>1.37</v>
      </c>
      <c r="H90" s="18">
        <v>43.46</v>
      </c>
      <c r="I90" s="14">
        <v>190789</v>
      </c>
      <c r="J90" s="14">
        <v>13703.4012</v>
      </c>
      <c r="K90" s="2">
        <v>525</v>
      </c>
      <c r="L90" s="18">
        <v>261.03500000000003</v>
      </c>
      <c r="M90" s="14">
        <v>3602948</v>
      </c>
      <c r="N90" s="4">
        <v>3.9</v>
      </c>
      <c r="O90" s="82">
        <v>6.8865740740740736E-3</v>
      </c>
      <c r="P90" s="86">
        <f t="shared" si="6"/>
        <v>595</v>
      </c>
      <c r="Q90" s="4" t="str" cm="1">
        <f t="array" ref="Q90">_xlfn.IFS(RawData[[#This Row],[Length (Sec)]]&lt;600, "Short", RawData[[#This Row],[Length (Sec)]]&lt;1200, "Mid", RawData[[#This Row],[Length (Sec)]]&gt;1199, "Long")</f>
        <v>Short</v>
      </c>
      <c r="R90" s="4" t="b">
        <f t="shared" ca="1" si="4"/>
        <v>0</v>
      </c>
      <c r="S90" s="4" t="b">
        <f t="shared" si="5"/>
        <v>1</v>
      </c>
      <c r="T90" s="4"/>
      <c r="U90" s="4"/>
      <c r="V90" s="4">
        <v>1</v>
      </c>
      <c r="W90" s="4">
        <v>1</v>
      </c>
      <c r="X90" s="4"/>
      <c r="Y90" s="4">
        <v>1</v>
      </c>
      <c r="Z90" s="4"/>
      <c r="AA90" s="4"/>
      <c r="AB90" s="4"/>
      <c r="AC90" s="4"/>
      <c r="AD90" s="4">
        <v>13.4</v>
      </c>
      <c r="AE90" s="4">
        <v>14</v>
      </c>
      <c r="AF90" s="4">
        <v>13.2</v>
      </c>
      <c r="AG90" s="4"/>
      <c r="AH90" s="4">
        <v>1</v>
      </c>
    </row>
    <row r="91" spans="1:34" ht="15" thickBot="1" x14ac:dyDescent="0.4">
      <c r="A91" s="1" t="s">
        <v>178</v>
      </c>
      <c r="B91" s="1" t="s">
        <v>17</v>
      </c>
      <c r="C91" s="10">
        <v>43938</v>
      </c>
      <c r="D91" s="14">
        <v>57193</v>
      </c>
      <c r="E91" s="18">
        <v>3.581</v>
      </c>
      <c r="F91" s="14">
        <v>256</v>
      </c>
      <c r="G91" s="18">
        <v>1.456</v>
      </c>
      <c r="H91" s="18">
        <v>27.23</v>
      </c>
      <c r="I91" s="14">
        <v>94128</v>
      </c>
      <c r="J91" s="14">
        <v>11441.037899999999</v>
      </c>
      <c r="K91" s="2">
        <v>681</v>
      </c>
      <c r="L91" s="18">
        <v>137.03899999999999</v>
      </c>
      <c r="M91" s="14">
        <v>2708395</v>
      </c>
      <c r="N91" s="4">
        <v>2.58</v>
      </c>
      <c r="O91" s="82">
        <v>1.8599537037037036E-2</v>
      </c>
      <c r="P91" s="86">
        <f t="shared" si="6"/>
        <v>1607</v>
      </c>
      <c r="Q91" s="4" t="str" cm="1">
        <f t="array" ref="Q91">_xlfn.IFS(RawData[[#This Row],[Length (Sec)]]&lt;600, "Short", RawData[[#This Row],[Length (Sec)]]&lt;1200, "Mid", RawData[[#This Row],[Length (Sec)]]&gt;1199, "Long")</f>
        <v>Long</v>
      </c>
      <c r="R91" s="4" t="b">
        <f t="shared" ca="1" si="4"/>
        <v>0</v>
      </c>
      <c r="S91" s="4" t="b">
        <f t="shared" si="5"/>
        <v>1</v>
      </c>
      <c r="T91" s="4">
        <v>1</v>
      </c>
      <c r="U91" s="4">
        <v>1</v>
      </c>
      <c r="V91" s="4"/>
      <c r="W91" s="4"/>
      <c r="X91" s="4">
        <v>1</v>
      </c>
      <c r="Y91" s="4">
        <v>1</v>
      </c>
      <c r="Z91" s="4"/>
      <c r="AA91" s="4"/>
      <c r="AB91" s="4"/>
      <c r="AC91" s="4"/>
      <c r="AD91" s="4">
        <v>7.4</v>
      </c>
      <c r="AE91" s="4">
        <v>12.8</v>
      </c>
      <c r="AF91" s="4">
        <v>18</v>
      </c>
      <c r="AG91" s="4"/>
      <c r="AH91" s="4"/>
    </row>
    <row r="92" spans="1:34" ht="15" thickBot="1" x14ac:dyDescent="0.4">
      <c r="A92" s="1" t="s">
        <v>106</v>
      </c>
      <c r="B92" s="1" t="s">
        <v>18</v>
      </c>
      <c r="C92" s="10">
        <v>43935</v>
      </c>
      <c r="D92" s="14">
        <v>26849</v>
      </c>
      <c r="E92" s="18">
        <v>2.7330000000000001</v>
      </c>
      <c r="F92" s="14">
        <v>1949</v>
      </c>
      <c r="G92" s="18">
        <v>0.27200000000000002</v>
      </c>
      <c r="H92" s="18">
        <v>38.4</v>
      </c>
      <c r="I92" s="14">
        <v>168142</v>
      </c>
      <c r="J92" s="14">
        <v>10939.7377</v>
      </c>
      <c r="K92" s="2">
        <v>323</v>
      </c>
      <c r="L92" s="18">
        <v>45.713000000000001</v>
      </c>
      <c r="M92" s="14">
        <v>2915626</v>
      </c>
      <c r="N92" s="4">
        <v>4.1100000000000003</v>
      </c>
      <c r="O92" s="82">
        <v>7.0601851851851841E-3</v>
      </c>
      <c r="P92" s="86">
        <f t="shared" si="6"/>
        <v>610</v>
      </c>
      <c r="Q92" s="4" t="str" cm="1">
        <f t="array" ref="Q92">_xlfn.IFS(RawData[[#This Row],[Length (Sec)]]&lt;600, "Short", RawData[[#This Row],[Length (Sec)]]&lt;1200, "Mid", RawData[[#This Row],[Length (Sec)]]&gt;1199, "Long")</f>
        <v>Mid</v>
      </c>
      <c r="R92" s="4" t="b">
        <f t="shared" ca="1" si="4"/>
        <v>0</v>
      </c>
      <c r="S92" s="4" t="b">
        <f t="shared" si="5"/>
        <v>1</v>
      </c>
      <c r="T92" s="4">
        <v>1</v>
      </c>
      <c r="U92" s="4"/>
      <c r="V92" s="4">
        <v>1</v>
      </c>
      <c r="W92" s="4"/>
      <c r="X92" s="4"/>
      <c r="Y92" s="4">
        <v>1</v>
      </c>
      <c r="Z92" s="4"/>
      <c r="AA92" s="4">
        <v>1</v>
      </c>
      <c r="AB92" s="4"/>
      <c r="AC92" s="4"/>
      <c r="AD92" s="4">
        <v>11.3</v>
      </c>
      <c r="AE92" s="4">
        <v>12.8</v>
      </c>
      <c r="AF92" s="4">
        <v>14.9</v>
      </c>
      <c r="AG92" s="4"/>
      <c r="AH92" s="4"/>
    </row>
    <row r="93" spans="1:34" ht="15" thickBot="1" x14ac:dyDescent="0.4">
      <c r="A93" s="1" t="s">
        <v>338</v>
      </c>
      <c r="B93" s="46"/>
      <c r="C93" s="10">
        <v>43933</v>
      </c>
      <c r="D93" s="14">
        <v>104721</v>
      </c>
      <c r="E93" s="18">
        <v>5.7119999999999997</v>
      </c>
      <c r="F93" s="14">
        <v>0</v>
      </c>
      <c r="G93" s="18">
        <v>3.3130000000000002</v>
      </c>
      <c r="H93" s="18">
        <v>10.42</v>
      </c>
      <c r="I93" s="14">
        <v>172017</v>
      </c>
      <c r="J93" s="14">
        <v>25941.5893</v>
      </c>
      <c r="K93" s="2">
        <v>409</v>
      </c>
      <c r="L93" s="18">
        <v>569.82500000000005</v>
      </c>
      <c r="M93" s="14">
        <v>3258397</v>
      </c>
      <c r="N93" s="4">
        <v>3.28</v>
      </c>
      <c r="O93" s="82"/>
      <c r="P93" s="86"/>
      <c r="Q93" s="4"/>
      <c r="R93" s="4" t="b">
        <f t="shared" ca="1" si="4"/>
        <v>0</v>
      </c>
      <c r="S93" s="4" t="b">
        <f t="shared" si="5"/>
        <v>1</v>
      </c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</row>
    <row r="94" spans="1:34" ht="15" thickBot="1" x14ac:dyDescent="0.4">
      <c r="A94" s="1" t="s">
        <v>71</v>
      </c>
      <c r="B94" s="1" t="s">
        <v>37</v>
      </c>
      <c r="C94" s="10">
        <v>43932</v>
      </c>
      <c r="D94" s="14">
        <v>532872</v>
      </c>
      <c r="E94" s="18">
        <v>3.6970000000000001</v>
      </c>
      <c r="F94" s="14">
        <v>6462</v>
      </c>
      <c r="G94" s="18">
        <v>1.329</v>
      </c>
      <c r="H94" s="18">
        <v>27.5</v>
      </c>
      <c r="I94" s="14">
        <v>944537</v>
      </c>
      <c r="J94" s="14">
        <v>53760.664700000001</v>
      </c>
      <c r="K94" s="2">
        <v>4548</v>
      </c>
      <c r="L94" s="18">
        <v>1252.289</v>
      </c>
      <c r="M94" s="14">
        <v>12400157</v>
      </c>
      <c r="N94" s="4">
        <v>4.8099999999999996</v>
      </c>
      <c r="O94" s="82">
        <v>8.6226851851851846E-3</v>
      </c>
      <c r="P94" s="86">
        <f t="shared" ref="P94:P102" si="7">60*MINUTE(O94) + SECOND(O94)</f>
        <v>745</v>
      </c>
      <c r="Q94" s="4" t="str" cm="1">
        <f t="array" ref="Q94">_xlfn.IFS(RawData[[#This Row],[Length (Sec)]]&lt;600, "Short", RawData[[#This Row],[Length (Sec)]]&lt;1200, "Mid", RawData[[#This Row],[Length (Sec)]]&gt;1199, "Long")</f>
        <v>Mid</v>
      </c>
      <c r="R94" s="4" t="b">
        <f t="shared" ca="1" si="4"/>
        <v>0</v>
      </c>
      <c r="S94" s="4" t="b">
        <f t="shared" si="5"/>
        <v>1</v>
      </c>
      <c r="T94" s="4"/>
      <c r="U94" s="4"/>
      <c r="V94" s="4"/>
      <c r="W94" s="4"/>
      <c r="X94" s="4"/>
      <c r="Y94" s="4"/>
      <c r="Z94" s="4"/>
      <c r="AA94" s="4">
        <v>1</v>
      </c>
      <c r="AB94" s="4"/>
      <c r="AC94" s="4"/>
      <c r="AD94" s="4">
        <v>17.899999999999999</v>
      </c>
      <c r="AE94" s="4">
        <v>17.399999999999999</v>
      </c>
      <c r="AF94" s="4">
        <v>9.3000000000000007</v>
      </c>
      <c r="AG94" s="4"/>
      <c r="AH94" s="4">
        <v>1</v>
      </c>
    </row>
    <row r="95" spans="1:34" ht="15" thickBot="1" x14ac:dyDescent="0.4">
      <c r="A95" s="1" t="s">
        <v>60</v>
      </c>
      <c r="B95" s="1" t="s">
        <v>37</v>
      </c>
      <c r="C95" s="10">
        <v>43930</v>
      </c>
      <c r="D95" s="14">
        <v>957443</v>
      </c>
      <c r="E95" s="18">
        <v>4.532</v>
      </c>
      <c r="F95" s="14">
        <v>11558</v>
      </c>
      <c r="G95" s="18">
        <v>2.1440000000000001</v>
      </c>
      <c r="H95" s="18">
        <v>33.520000000000003</v>
      </c>
      <c r="I95" s="14">
        <v>1344512</v>
      </c>
      <c r="J95" s="14">
        <v>112299.6431</v>
      </c>
      <c r="K95" s="2">
        <v>11589</v>
      </c>
      <c r="L95" s="18">
        <v>2878.2460000000001</v>
      </c>
      <c r="M95" s="14">
        <v>19467368</v>
      </c>
      <c r="N95" s="4">
        <v>4.72</v>
      </c>
      <c r="O95" s="82">
        <v>1.0381944444444444E-2</v>
      </c>
      <c r="P95" s="86">
        <f t="shared" si="7"/>
        <v>897</v>
      </c>
      <c r="Q95" s="4" t="str" cm="1">
        <f t="array" ref="Q95">_xlfn.IFS(RawData[[#This Row],[Length (Sec)]]&lt;600, "Short", RawData[[#This Row],[Length (Sec)]]&lt;1200, "Mid", RawData[[#This Row],[Length (Sec)]]&gt;1199, "Long")</f>
        <v>Mid</v>
      </c>
      <c r="R95" s="4" t="b">
        <f t="shared" ca="1" si="4"/>
        <v>0</v>
      </c>
      <c r="S95" s="4" t="b">
        <f t="shared" si="5"/>
        <v>1</v>
      </c>
      <c r="T95" s="4"/>
      <c r="U95" s="4"/>
      <c r="V95" s="4"/>
      <c r="W95" s="4"/>
      <c r="X95" s="4"/>
      <c r="Y95" s="4"/>
      <c r="Z95" s="4"/>
      <c r="AA95" s="4">
        <v>1</v>
      </c>
      <c r="AB95" s="4"/>
      <c r="AC95" s="4"/>
      <c r="AD95" s="4">
        <v>8.3000000000000007</v>
      </c>
      <c r="AE95" s="4">
        <v>29</v>
      </c>
      <c r="AF95" s="4">
        <v>7.6</v>
      </c>
      <c r="AG95" s="4"/>
      <c r="AH95" s="4">
        <v>1</v>
      </c>
    </row>
    <row r="96" spans="1:34" ht="15" thickBot="1" x14ac:dyDescent="0.4">
      <c r="A96" s="1" t="s">
        <v>315</v>
      </c>
      <c r="B96" s="1" t="s">
        <v>17</v>
      </c>
      <c r="C96" s="10">
        <v>43928</v>
      </c>
      <c r="D96" s="14">
        <v>0</v>
      </c>
      <c r="E96" s="19"/>
      <c r="F96" s="14">
        <v>0</v>
      </c>
      <c r="G96" s="18">
        <v>0</v>
      </c>
      <c r="H96" s="18">
        <v>44.46</v>
      </c>
      <c r="I96" s="14">
        <v>169125</v>
      </c>
      <c r="J96" s="14">
        <v>11632.8534</v>
      </c>
      <c r="K96" s="2">
        <v>567</v>
      </c>
      <c r="L96" s="18">
        <v>0</v>
      </c>
      <c r="M96" s="14">
        <v>2857789</v>
      </c>
      <c r="N96" s="4">
        <v>4.4400000000000004</v>
      </c>
      <c r="O96" s="82">
        <v>6.4467592592592597E-3</v>
      </c>
      <c r="P96" s="86">
        <f t="shared" si="7"/>
        <v>557</v>
      </c>
      <c r="Q96" s="4" t="str" cm="1">
        <f t="array" ref="Q96">_xlfn.IFS(RawData[[#This Row],[Length (Sec)]]&lt;600, "Short", RawData[[#This Row],[Length (Sec)]]&lt;1200, "Mid", RawData[[#This Row],[Length (Sec)]]&gt;1199, "Long")</f>
        <v>Short</v>
      </c>
      <c r="R96" s="4" t="b">
        <f t="shared" ca="1" si="4"/>
        <v>0</v>
      </c>
      <c r="S96" s="4" t="b">
        <f t="shared" si="5"/>
        <v>1</v>
      </c>
      <c r="T96" s="4">
        <v>1</v>
      </c>
      <c r="U96" s="4"/>
      <c r="V96" s="4">
        <v>1</v>
      </c>
      <c r="W96" s="4"/>
      <c r="X96" s="4"/>
      <c r="Y96" s="4">
        <v>1</v>
      </c>
      <c r="Z96" s="4"/>
      <c r="AA96" s="4">
        <v>1</v>
      </c>
      <c r="AB96" s="4"/>
      <c r="AC96" s="4">
        <v>1</v>
      </c>
      <c r="AD96" s="4">
        <v>11.7</v>
      </c>
      <c r="AE96" s="4">
        <v>14</v>
      </c>
      <c r="AF96" s="4">
        <v>14.6</v>
      </c>
      <c r="AG96" s="4"/>
      <c r="AH96" s="4"/>
    </row>
    <row r="97" spans="1:34" ht="15" thickBot="1" x14ac:dyDescent="0.4">
      <c r="A97" s="1" t="s">
        <v>127</v>
      </c>
      <c r="B97" s="1" t="s">
        <v>18</v>
      </c>
      <c r="C97" s="10">
        <v>43921</v>
      </c>
      <c r="D97" s="14">
        <v>76190</v>
      </c>
      <c r="E97" s="18">
        <v>4.6379999999999999</v>
      </c>
      <c r="F97" s="14">
        <v>1323</v>
      </c>
      <c r="G97" s="18">
        <v>0.97499999999999998</v>
      </c>
      <c r="H97" s="18">
        <v>30.32</v>
      </c>
      <c r="I97" s="14">
        <v>241458</v>
      </c>
      <c r="J97" s="14">
        <v>11938.5407</v>
      </c>
      <c r="K97" s="2">
        <v>481</v>
      </c>
      <c r="L97" s="18">
        <v>234.92099999999999</v>
      </c>
      <c r="M97" s="14">
        <v>3735202</v>
      </c>
      <c r="N97" s="4">
        <v>4.78</v>
      </c>
      <c r="O97" s="82">
        <v>6.7939814814814816E-3</v>
      </c>
      <c r="P97" s="86">
        <f t="shared" si="7"/>
        <v>587</v>
      </c>
      <c r="Q97" s="4" t="str" cm="1">
        <f t="array" ref="Q97">_xlfn.IFS(RawData[[#This Row],[Length (Sec)]]&lt;600, "Short", RawData[[#This Row],[Length (Sec)]]&lt;1200, "Mid", RawData[[#This Row],[Length (Sec)]]&gt;1199, "Long")</f>
        <v>Short</v>
      </c>
      <c r="R97" s="4" t="b">
        <f t="shared" ca="1" si="4"/>
        <v>0</v>
      </c>
      <c r="S97" s="4" t="b">
        <f t="shared" si="5"/>
        <v>1</v>
      </c>
      <c r="T97" s="4"/>
      <c r="U97" s="4"/>
      <c r="V97" s="4">
        <v>1</v>
      </c>
      <c r="W97" s="4">
        <v>1</v>
      </c>
      <c r="X97" s="4"/>
      <c r="Y97" s="4"/>
      <c r="Z97" s="4"/>
      <c r="AA97" s="4"/>
      <c r="AB97" s="4"/>
      <c r="AC97" s="4"/>
      <c r="AD97" s="4">
        <v>13.8</v>
      </c>
      <c r="AE97" s="4">
        <v>12.6</v>
      </c>
      <c r="AF97" s="4">
        <v>10</v>
      </c>
      <c r="AG97" s="4"/>
      <c r="AH97" s="4"/>
    </row>
    <row r="98" spans="1:34" ht="15" thickBot="1" x14ac:dyDescent="0.4">
      <c r="A98" s="1" t="s">
        <v>168</v>
      </c>
      <c r="B98" s="45" t="s">
        <v>17</v>
      </c>
      <c r="C98" s="10">
        <v>43920</v>
      </c>
      <c r="D98" s="14">
        <v>59780</v>
      </c>
      <c r="E98" s="18">
        <v>4.42</v>
      </c>
      <c r="F98" s="14">
        <v>362</v>
      </c>
      <c r="G98" s="18">
        <v>1.8120000000000001</v>
      </c>
      <c r="H98" s="18">
        <v>26.04</v>
      </c>
      <c r="I98" s="14">
        <v>96705</v>
      </c>
      <c r="J98" s="14">
        <v>7254.4584999999997</v>
      </c>
      <c r="K98" s="2">
        <v>362</v>
      </c>
      <c r="L98" s="18">
        <v>175.12799999999999</v>
      </c>
      <c r="M98" s="14">
        <v>2077963</v>
      </c>
      <c r="N98" s="4">
        <v>3.32</v>
      </c>
      <c r="O98" s="82">
        <v>1.1990740740740739E-2</v>
      </c>
      <c r="P98" s="86">
        <f t="shared" si="7"/>
        <v>1036</v>
      </c>
      <c r="Q98" s="4" t="str" cm="1">
        <f t="array" ref="Q98">_xlfn.IFS(RawData[[#This Row],[Length (Sec)]]&lt;600, "Short", RawData[[#This Row],[Length (Sec)]]&lt;1200, "Mid", RawData[[#This Row],[Length (Sec)]]&gt;1199, "Long")</f>
        <v>Mid</v>
      </c>
      <c r="R98" s="4" t="b">
        <f t="shared" ca="1" si="4"/>
        <v>0</v>
      </c>
      <c r="S98" s="4" t="b">
        <f t="shared" si="5"/>
        <v>1</v>
      </c>
      <c r="T98" s="4">
        <v>1</v>
      </c>
      <c r="U98" s="4"/>
      <c r="V98" s="4"/>
      <c r="W98" s="4">
        <v>1</v>
      </c>
      <c r="X98" s="4">
        <v>1</v>
      </c>
      <c r="Y98" s="4">
        <v>1</v>
      </c>
      <c r="Z98" s="4"/>
      <c r="AA98" s="4"/>
      <c r="AB98" s="4"/>
      <c r="AC98" s="4">
        <v>1</v>
      </c>
      <c r="AD98" s="4"/>
      <c r="AE98" s="4"/>
      <c r="AF98" s="4"/>
      <c r="AG98" s="4"/>
      <c r="AH98" s="4"/>
    </row>
    <row r="99" spans="1:34" ht="15" thickBot="1" x14ac:dyDescent="0.4">
      <c r="A99" s="1" t="s">
        <v>118</v>
      </c>
      <c r="B99" s="1" t="s">
        <v>37</v>
      </c>
      <c r="C99" s="10">
        <v>43918</v>
      </c>
      <c r="D99" s="14">
        <v>215063</v>
      </c>
      <c r="E99" s="18">
        <v>3.6709999999999998</v>
      </c>
      <c r="F99" s="14">
        <v>1662</v>
      </c>
      <c r="G99" s="18">
        <v>1.4930000000000001</v>
      </c>
      <c r="H99" s="18">
        <v>33.15</v>
      </c>
      <c r="I99" s="14">
        <v>361818</v>
      </c>
      <c r="J99" s="14">
        <v>24389.995699999999</v>
      </c>
      <c r="K99" s="2">
        <v>2173</v>
      </c>
      <c r="L99" s="18">
        <v>539.93600000000004</v>
      </c>
      <c r="M99" s="14">
        <v>6062850</v>
      </c>
      <c r="N99" s="4">
        <v>4.3899999999999997</v>
      </c>
      <c r="O99" s="82">
        <v>8.4722222222222213E-3</v>
      </c>
      <c r="P99" s="86">
        <f t="shared" si="7"/>
        <v>732</v>
      </c>
      <c r="Q99" s="4" t="str" cm="1">
        <f t="array" ref="Q99">_xlfn.IFS(RawData[[#This Row],[Length (Sec)]]&lt;600, "Short", RawData[[#This Row],[Length (Sec)]]&lt;1200, "Mid", RawData[[#This Row],[Length (Sec)]]&gt;1199, "Long")</f>
        <v>Mid</v>
      </c>
      <c r="R99" s="4" t="b">
        <f t="shared" ca="1" si="4"/>
        <v>0</v>
      </c>
      <c r="S99" s="4" t="b">
        <f t="shared" si="5"/>
        <v>1</v>
      </c>
      <c r="T99" s="4"/>
      <c r="U99" s="4"/>
      <c r="V99" s="4"/>
      <c r="W99" s="4"/>
      <c r="X99" s="4"/>
      <c r="Y99" s="4"/>
      <c r="Z99" s="4"/>
      <c r="AA99" s="4">
        <v>1</v>
      </c>
      <c r="AB99" s="4"/>
      <c r="AC99" s="4"/>
      <c r="AD99" s="4"/>
      <c r="AE99" s="4"/>
      <c r="AF99" s="4"/>
      <c r="AG99" s="4"/>
      <c r="AH99" s="4">
        <v>1</v>
      </c>
    </row>
    <row r="100" spans="1:34" ht="15" thickBot="1" x14ac:dyDescent="0.4">
      <c r="A100" s="1" t="s">
        <v>136</v>
      </c>
      <c r="B100" s="1" t="s">
        <v>37</v>
      </c>
      <c r="C100" s="10">
        <v>43916</v>
      </c>
      <c r="D100" s="14">
        <v>79777</v>
      </c>
      <c r="E100" s="18">
        <v>3.629</v>
      </c>
      <c r="F100" s="14">
        <v>967</v>
      </c>
      <c r="G100" s="18">
        <v>1.333</v>
      </c>
      <c r="H100" s="18">
        <v>52.84</v>
      </c>
      <c r="I100" s="14">
        <v>147337</v>
      </c>
      <c r="J100" s="14">
        <v>4217.1184000000003</v>
      </c>
      <c r="K100" s="2">
        <v>420</v>
      </c>
      <c r="L100" s="18">
        <v>196.351</v>
      </c>
      <c r="M100" s="14">
        <v>2318146</v>
      </c>
      <c r="N100" s="4">
        <v>4.5599999999999996</v>
      </c>
      <c r="O100" s="82">
        <v>2.2569444444444447E-3</v>
      </c>
      <c r="P100" s="86">
        <f t="shared" si="7"/>
        <v>195</v>
      </c>
      <c r="Q100" s="4" t="str" cm="1">
        <f t="array" ref="Q100">_xlfn.IFS(RawData[[#This Row],[Length (Sec)]]&lt;600, "Short", RawData[[#This Row],[Length (Sec)]]&lt;1200, "Mid", RawData[[#This Row],[Length (Sec)]]&gt;1199, "Long")</f>
        <v>Short</v>
      </c>
      <c r="R100" s="4" t="b">
        <f t="shared" ca="1" si="4"/>
        <v>0</v>
      </c>
      <c r="S100" s="4" t="b">
        <f t="shared" si="5"/>
        <v>1</v>
      </c>
      <c r="T100" s="4"/>
      <c r="U100" s="4"/>
      <c r="V100" s="4"/>
      <c r="W100" s="4"/>
      <c r="X100" s="4"/>
      <c r="Y100" s="4">
        <v>1</v>
      </c>
      <c r="Z100" s="4"/>
      <c r="AA100" s="4">
        <v>1</v>
      </c>
      <c r="AB100" s="4"/>
      <c r="AC100" s="4"/>
      <c r="AD100" s="4"/>
      <c r="AE100" s="4"/>
      <c r="AF100" s="4"/>
      <c r="AG100" s="4"/>
      <c r="AH100" s="4">
        <v>1</v>
      </c>
    </row>
    <row r="101" spans="1:34" ht="15" thickBot="1" x14ac:dyDescent="0.4">
      <c r="A101" s="1" t="s">
        <v>88</v>
      </c>
      <c r="B101" s="1" t="s">
        <v>19</v>
      </c>
      <c r="C101" s="10">
        <v>43914</v>
      </c>
      <c r="D101" s="14">
        <v>106450</v>
      </c>
      <c r="E101" s="18">
        <v>4.4279999999999999</v>
      </c>
      <c r="F101" s="14">
        <v>3314</v>
      </c>
      <c r="G101" s="18">
        <v>0.92800000000000005</v>
      </c>
      <c r="H101" s="18">
        <v>39.25</v>
      </c>
      <c r="I101" s="14">
        <v>319269</v>
      </c>
      <c r="J101" s="14">
        <v>25308.940200000001</v>
      </c>
      <c r="K101" s="2">
        <v>3231</v>
      </c>
      <c r="L101" s="18">
        <v>295.923</v>
      </c>
      <c r="M101" s="14">
        <v>6541914</v>
      </c>
      <c r="N101" s="4">
        <v>3.44</v>
      </c>
      <c r="O101" s="82">
        <v>8.4143518518518517E-3</v>
      </c>
      <c r="P101" s="86">
        <f t="shared" si="7"/>
        <v>727</v>
      </c>
      <c r="Q101" s="4" t="str" cm="1">
        <f t="array" ref="Q101">_xlfn.IFS(RawData[[#This Row],[Length (Sec)]]&lt;600, "Short", RawData[[#This Row],[Length (Sec)]]&lt;1200, "Mid", RawData[[#This Row],[Length (Sec)]]&gt;1199, "Long")</f>
        <v>Mid</v>
      </c>
      <c r="R101" s="4" t="b">
        <f t="shared" ca="1" si="4"/>
        <v>0</v>
      </c>
      <c r="S101" s="4" t="b">
        <f t="shared" si="5"/>
        <v>1</v>
      </c>
      <c r="T101" s="4">
        <v>1</v>
      </c>
      <c r="U101" s="4">
        <v>1</v>
      </c>
      <c r="V101" s="4"/>
      <c r="W101" s="4"/>
      <c r="X101" s="4">
        <v>1</v>
      </c>
      <c r="Y101" s="4">
        <v>1</v>
      </c>
      <c r="Z101" s="4"/>
      <c r="AA101" s="4"/>
      <c r="AB101" s="4"/>
      <c r="AC101" s="4"/>
      <c r="AD101" s="4"/>
      <c r="AE101" s="4"/>
      <c r="AF101" s="4"/>
      <c r="AG101" s="4"/>
      <c r="AH101" s="4"/>
    </row>
    <row r="102" spans="1:34" ht="15" thickBot="1" x14ac:dyDescent="0.4">
      <c r="A102" s="1" t="s">
        <v>280</v>
      </c>
      <c r="B102" s="1" t="s">
        <v>17</v>
      </c>
      <c r="C102" s="10">
        <v>43913</v>
      </c>
      <c r="D102" s="14">
        <v>0</v>
      </c>
      <c r="E102" s="19"/>
      <c r="F102" s="14">
        <v>0</v>
      </c>
      <c r="G102" s="18">
        <v>7.9000000000000001E-2</v>
      </c>
      <c r="H102" s="18">
        <v>25.07</v>
      </c>
      <c r="I102" s="14">
        <v>87541</v>
      </c>
      <c r="J102" s="14">
        <v>4871.6457</v>
      </c>
      <c r="K102" s="2">
        <v>256</v>
      </c>
      <c r="L102" s="18">
        <v>6.9169999999999998</v>
      </c>
      <c r="M102" s="14">
        <v>2241164</v>
      </c>
      <c r="N102" s="4">
        <v>2.79</v>
      </c>
      <c r="O102" s="82">
        <v>9.2476851851851852E-3</v>
      </c>
      <c r="P102" s="86">
        <f t="shared" si="7"/>
        <v>799</v>
      </c>
      <c r="Q102" s="4" t="str" cm="1">
        <f t="array" ref="Q102">_xlfn.IFS(RawData[[#This Row],[Length (Sec)]]&lt;600, "Short", RawData[[#This Row],[Length (Sec)]]&lt;1200, "Mid", RawData[[#This Row],[Length (Sec)]]&gt;1199, "Long")</f>
        <v>Mid</v>
      </c>
      <c r="R102" s="4" t="b">
        <f t="shared" ca="1" si="4"/>
        <v>0</v>
      </c>
      <c r="S102" s="4" t="b">
        <f t="shared" si="5"/>
        <v>1</v>
      </c>
      <c r="T102" s="4">
        <v>1</v>
      </c>
      <c r="U102" s="4"/>
      <c r="V102" s="4"/>
      <c r="W102" s="4"/>
      <c r="X102" s="4">
        <v>1</v>
      </c>
      <c r="Y102" s="4">
        <v>1</v>
      </c>
      <c r="Z102" s="4"/>
      <c r="AA102" s="4">
        <v>1</v>
      </c>
      <c r="AB102" s="4"/>
      <c r="AC102" s="4">
        <v>1</v>
      </c>
      <c r="AD102" s="4"/>
      <c r="AE102" s="4"/>
      <c r="AF102" s="4"/>
      <c r="AG102" s="4">
        <v>1</v>
      </c>
      <c r="AH102" s="4"/>
    </row>
    <row r="103" spans="1:34" ht="15" thickBot="1" x14ac:dyDescent="0.4">
      <c r="A103" s="1" t="s">
        <v>321</v>
      </c>
      <c r="B103" s="46"/>
      <c r="C103" s="10">
        <v>43912</v>
      </c>
      <c r="D103" s="14">
        <v>15271</v>
      </c>
      <c r="E103" s="18">
        <v>3.3839999999999999</v>
      </c>
      <c r="F103" s="14">
        <v>0</v>
      </c>
      <c r="G103" s="18">
        <v>1.3320000000000001</v>
      </c>
      <c r="H103" s="18">
        <v>1.1499999999999999</v>
      </c>
      <c r="I103" s="14">
        <v>52142</v>
      </c>
      <c r="J103" s="14">
        <v>2710.9762000000001</v>
      </c>
      <c r="K103" s="2">
        <v>-1</v>
      </c>
      <c r="L103" s="18">
        <v>69.478999999999999</v>
      </c>
      <c r="M103" s="14">
        <v>447056</v>
      </c>
      <c r="N103" s="4">
        <v>8.11</v>
      </c>
      <c r="O103" s="82"/>
      <c r="P103" s="86"/>
      <c r="Q103" s="4"/>
      <c r="R103" s="4" t="b">
        <f t="shared" ca="1" si="4"/>
        <v>0</v>
      </c>
      <c r="S103" s="4" t="b">
        <f t="shared" si="5"/>
        <v>1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</row>
    <row r="104" spans="1:34" ht="15" thickBot="1" x14ac:dyDescent="0.4">
      <c r="A104" s="1" t="s">
        <v>144</v>
      </c>
      <c r="B104" s="1" t="s">
        <v>17</v>
      </c>
      <c r="C104" s="10">
        <v>43912</v>
      </c>
      <c r="D104" s="14">
        <v>34752</v>
      </c>
      <c r="E104" s="18">
        <v>3.746</v>
      </c>
      <c r="F104" s="14">
        <v>706</v>
      </c>
      <c r="G104" s="18">
        <v>1.3580000000000001</v>
      </c>
      <c r="H104" s="18">
        <v>45.6</v>
      </c>
      <c r="I104" s="14">
        <v>64430</v>
      </c>
      <c r="J104" s="14">
        <v>3933.8085999999998</v>
      </c>
      <c r="K104" s="2">
        <v>117</v>
      </c>
      <c r="L104" s="18">
        <v>87.399000000000001</v>
      </c>
      <c r="M104" s="14">
        <v>1951641</v>
      </c>
      <c r="N104" s="4">
        <v>2.25</v>
      </c>
      <c r="O104" s="82">
        <v>5.5787037037037038E-3</v>
      </c>
      <c r="P104" s="86">
        <f t="shared" ref="P104:P135" si="8">60*MINUTE(O104) + SECOND(O104)</f>
        <v>482</v>
      </c>
      <c r="Q104" s="4" t="str" cm="1">
        <f t="array" ref="Q104">_xlfn.IFS(RawData[[#This Row],[Length (Sec)]]&lt;600, "Short", RawData[[#This Row],[Length (Sec)]]&lt;1200, "Mid", RawData[[#This Row],[Length (Sec)]]&gt;1199, "Long")</f>
        <v>Short</v>
      </c>
      <c r="R104" s="4" t="b">
        <f t="shared" ca="1" si="4"/>
        <v>0</v>
      </c>
      <c r="S104" s="4" t="b">
        <f t="shared" si="5"/>
        <v>1</v>
      </c>
      <c r="T104" s="4">
        <v>1</v>
      </c>
      <c r="U104" s="4"/>
      <c r="V104" s="4">
        <v>1</v>
      </c>
      <c r="W104" s="4"/>
      <c r="X104" s="4"/>
      <c r="Y104" s="4">
        <v>1</v>
      </c>
      <c r="Z104" s="4"/>
      <c r="AA104" s="4"/>
      <c r="AB104" s="4"/>
      <c r="AC104" s="4">
        <v>1</v>
      </c>
      <c r="AD104" s="4"/>
      <c r="AE104" s="4"/>
      <c r="AF104" s="4"/>
      <c r="AG104" s="4"/>
      <c r="AH104" s="4"/>
    </row>
    <row r="105" spans="1:34" ht="15" thickBot="1" x14ac:dyDescent="0.4">
      <c r="A105" s="1" t="s">
        <v>146</v>
      </c>
      <c r="B105" s="45"/>
      <c r="C105" s="10">
        <v>43909</v>
      </c>
      <c r="D105" s="14">
        <v>66601</v>
      </c>
      <c r="E105" s="18">
        <v>3.9830000000000001</v>
      </c>
      <c r="F105" s="14">
        <v>671</v>
      </c>
      <c r="G105" s="18">
        <v>0.91800000000000004</v>
      </c>
      <c r="H105" s="18">
        <v>28.66</v>
      </c>
      <c r="I105" s="14">
        <v>196100</v>
      </c>
      <c r="J105" s="14">
        <v>17125.586500000001</v>
      </c>
      <c r="K105" s="2">
        <v>1079</v>
      </c>
      <c r="L105" s="18">
        <v>179.828</v>
      </c>
      <c r="M105" s="14">
        <v>4684168</v>
      </c>
      <c r="N105" s="4">
        <v>2.94</v>
      </c>
      <c r="O105" s="82">
        <v>1.269675925925926E-2</v>
      </c>
      <c r="P105" s="86">
        <f t="shared" si="8"/>
        <v>1097</v>
      </c>
      <c r="Q105" s="4" t="str" cm="1">
        <f t="array" ref="Q105">_xlfn.IFS(RawData[[#This Row],[Length (Sec)]]&lt;600, "Short", RawData[[#This Row],[Length (Sec)]]&lt;1200, "Mid", RawData[[#This Row],[Length (Sec)]]&gt;1199, "Long")</f>
        <v>Mid</v>
      </c>
      <c r="R105" s="4" t="b">
        <f t="shared" ca="1" si="4"/>
        <v>0</v>
      </c>
      <c r="S105" s="4" t="b">
        <f t="shared" si="5"/>
        <v>1</v>
      </c>
      <c r="T105" s="4">
        <v>1</v>
      </c>
      <c r="U105" s="4"/>
      <c r="V105" s="4"/>
      <c r="W105" s="4">
        <v>1</v>
      </c>
      <c r="X105" s="4"/>
      <c r="Y105" s="4">
        <v>1</v>
      </c>
      <c r="Z105" s="4"/>
      <c r="AA105" s="4">
        <v>1</v>
      </c>
      <c r="AB105" s="4"/>
      <c r="AC105" s="4">
        <v>1</v>
      </c>
      <c r="AD105" s="4"/>
      <c r="AE105" s="4"/>
      <c r="AF105" s="4"/>
      <c r="AG105" s="4"/>
      <c r="AH105" s="4"/>
    </row>
    <row r="106" spans="1:34" ht="15" thickBot="1" x14ac:dyDescent="0.4">
      <c r="A106" s="1" t="s">
        <v>216</v>
      </c>
      <c r="B106" s="1" t="s">
        <v>18</v>
      </c>
      <c r="C106" s="10">
        <v>43903</v>
      </c>
      <c r="D106" s="14">
        <v>26923</v>
      </c>
      <c r="E106" s="18">
        <v>3.4460000000000002</v>
      </c>
      <c r="F106" s="14">
        <v>44</v>
      </c>
      <c r="G106" s="18">
        <v>0.57099999999999995</v>
      </c>
      <c r="H106" s="18">
        <v>16.170000000000002</v>
      </c>
      <c r="I106" s="14">
        <v>133408</v>
      </c>
      <c r="J106" s="14">
        <v>20242.391899999999</v>
      </c>
      <c r="K106" s="2">
        <v>360</v>
      </c>
      <c r="L106" s="18">
        <v>76.037000000000006</v>
      </c>
      <c r="M106" s="14">
        <v>2735037</v>
      </c>
      <c r="N106" s="4">
        <v>2.93</v>
      </c>
      <c r="O106" s="82">
        <v>3.9108796296296301E-2</v>
      </c>
      <c r="P106" s="86">
        <f t="shared" si="8"/>
        <v>3379</v>
      </c>
      <c r="Q106" s="4" t="str" cm="1">
        <f t="array" ref="Q106">_xlfn.IFS(RawData[[#This Row],[Length (Sec)]]&lt;600, "Short", RawData[[#This Row],[Length (Sec)]]&lt;1200, "Mid", RawData[[#This Row],[Length (Sec)]]&gt;1199, "Long")</f>
        <v>Long</v>
      </c>
      <c r="R106" s="4" t="b">
        <f t="shared" ca="1" si="4"/>
        <v>0</v>
      </c>
      <c r="S106" s="4" t="b">
        <f t="shared" si="5"/>
        <v>1</v>
      </c>
      <c r="T106" s="4">
        <v>1</v>
      </c>
      <c r="U106" s="4"/>
      <c r="V106" s="4"/>
      <c r="W106" s="4"/>
      <c r="X106" s="4"/>
      <c r="Y106" s="4">
        <v>1</v>
      </c>
      <c r="Z106" s="4">
        <v>1</v>
      </c>
      <c r="AA106" s="4"/>
      <c r="AB106" s="4"/>
      <c r="AC106" s="4">
        <v>1</v>
      </c>
      <c r="AD106" s="4"/>
      <c r="AE106" s="4"/>
      <c r="AF106" s="4"/>
      <c r="AG106" s="4"/>
      <c r="AH106" s="4"/>
    </row>
    <row r="107" spans="1:34" ht="15" thickBot="1" x14ac:dyDescent="0.4">
      <c r="A107" s="1" t="s">
        <v>131</v>
      </c>
      <c r="B107" s="45"/>
      <c r="C107" s="10">
        <v>43901</v>
      </c>
      <c r="D107" s="14">
        <v>9225</v>
      </c>
      <c r="E107" s="18">
        <v>4.2770000000000001</v>
      </c>
      <c r="F107" s="14">
        <v>1144</v>
      </c>
      <c r="G107" s="18">
        <v>0.22500000000000001</v>
      </c>
      <c r="H107" s="18">
        <v>38.479999999999997</v>
      </c>
      <c r="I107" s="14">
        <v>214535</v>
      </c>
      <c r="J107" s="14">
        <v>17521.183000000001</v>
      </c>
      <c r="K107" s="2">
        <v>797</v>
      </c>
      <c r="L107" s="18">
        <v>48.26</v>
      </c>
      <c r="M107" s="14">
        <v>5151295</v>
      </c>
      <c r="N107" s="4">
        <v>2.98</v>
      </c>
      <c r="O107" s="82">
        <v>8.8425925925925911E-3</v>
      </c>
      <c r="P107" s="86">
        <f t="shared" si="8"/>
        <v>764</v>
      </c>
      <c r="Q107" s="4" t="str" cm="1">
        <f t="array" ref="Q107">_xlfn.IFS(RawData[[#This Row],[Length (Sec)]]&lt;600, "Short", RawData[[#This Row],[Length (Sec)]]&lt;1200, "Mid", RawData[[#This Row],[Length (Sec)]]&gt;1199, "Long")</f>
        <v>Mid</v>
      </c>
      <c r="R107" s="4" t="b">
        <f t="shared" ca="1" si="4"/>
        <v>0</v>
      </c>
      <c r="S107" s="4" t="b">
        <f t="shared" si="5"/>
        <v>1</v>
      </c>
      <c r="T107" s="4">
        <v>1</v>
      </c>
      <c r="U107" s="4"/>
      <c r="V107" s="4"/>
      <c r="W107" s="4"/>
      <c r="X107" s="4">
        <v>1</v>
      </c>
      <c r="Y107" s="4">
        <v>1</v>
      </c>
      <c r="Z107" s="4"/>
      <c r="AA107" s="4"/>
      <c r="AB107" s="4"/>
      <c r="AC107" s="4">
        <v>1</v>
      </c>
      <c r="AD107" s="4"/>
      <c r="AE107" s="4"/>
      <c r="AF107" s="4"/>
      <c r="AG107" s="4">
        <v>1</v>
      </c>
      <c r="AH107" s="4"/>
    </row>
    <row r="108" spans="1:34" ht="15" thickBot="1" x14ac:dyDescent="0.4">
      <c r="A108" s="1" t="s">
        <v>158</v>
      </c>
      <c r="B108" s="45"/>
      <c r="C108" s="10">
        <v>43897</v>
      </c>
      <c r="D108" s="14">
        <v>4886</v>
      </c>
      <c r="E108" s="18">
        <v>3.8069999999999999</v>
      </c>
      <c r="F108" s="14">
        <v>477</v>
      </c>
      <c r="G108" s="18">
        <v>9.2999999999999999E-2</v>
      </c>
      <c r="H108" s="18">
        <v>34.01</v>
      </c>
      <c r="I108" s="14">
        <v>205180</v>
      </c>
      <c r="J108" s="14">
        <v>23786.496500000001</v>
      </c>
      <c r="K108" s="2">
        <v>778</v>
      </c>
      <c r="L108" s="18">
        <v>19.044</v>
      </c>
      <c r="M108" s="14">
        <v>4055047</v>
      </c>
      <c r="N108" s="4">
        <v>3.44</v>
      </c>
      <c r="O108" s="82">
        <v>1.4201388888888888E-2</v>
      </c>
      <c r="P108" s="86">
        <f t="shared" si="8"/>
        <v>1227</v>
      </c>
      <c r="Q108" s="4" t="str" cm="1">
        <f t="array" ref="Q108">_xlfn.IFS(RawData[[#This Row],[Length (Sec)]]&lt;600, "Short", RawData[[#This Row],[Length (Sec)]]&lt;1200, "Mid", RawData[[#This Row],[Length (Sec)]]&gt;1199, "Long")</f>
        <v>Long</v>
      </c>
      <c r="R108" s="4" t="b">
        <f t="shared" ca="1" si="4"/>
        <v>0</v>
      </c>
      <c r="S108" s="4" t="b">
        <f t="shared" si="5"/>
        <v>1</v>
      </c>
      <c r="T108" s="4">
        <v>1</v>
      </c>
      <c r="U108" s="4"/>
      <c r="V108" s="4"/>
      <c r="W108" s="4"/>
      <c r="X108" s="4">
        <v>1</v>
      </c>
      <c r="Y108" s="4">
        <v>1</v>
      </c>
      <c r="Z108" s="4"/>
      <c r="AA108" s="4"/>
      <c r="AB108" s="4"/>
      <c r="AC108" s="4">
        <v>1</v>
      </c>
      <c r="AD108" s="4"/>
      <c r="AE108" s="4"/>
      <c r="AF108" s="4"/>
      <c r="AG108" s="4">
        <v>1</v>
      </c>
      <c r="AH108" s="4"/>
    </row>
    <row r="109" spans="1:34" ht="15" thickBot="1" x14ac:dyDescent="0.4">
      <c r="A109" s="1" t="s">
        <v>128</v>
      </c>
      <c r="B109" s="1" t="s">
        <v>17</v>
      </c>
      <c r="C109" s="10">
        <v>43896</v>
      </c>
      <c r="D109" s="14">
        <v>22035</v>
      </c>
      <c r="E109" s="18">
        <v>3.2749999999999999</v>
      </c>
      <c r="F109" s="14">
        <v>1256</v>
      </c>
      <c r="G109" s="18">
        <v>0.35699999999999998</v>
      </c>
      <c r="H109" s="18">
        <v>40.93</v>
      </c>
      <c r="I109" s="14">
        <v>132355</v>
      </c>
      <c r="J109" s="14">
        <v>9314.3472000000002</v>
      </c>
      <c r="K109" s="2">
        <v>318</v>
      </c>
      <c r="L109" s="18">
        <v>47.271999999999998</v>
      </c>
      <c r="M109" s="14">
        <v>2390549</v>
      </c>
      <c r="N109" s="4">
        <v>3.9</v>
      </c>
      <c r="O109" s="82">
        <v>7.1643518518518514E-3</v>
      </c>
      <c r="P109" s="86">
        <f t="shared" si="8"/>
        <v>619</v>
      </c>
      <c r="Q109" s="4" t="str" cm="1">
        <f t="array" ref="Q109">_xlfn.IFS(RawData[[#This Row],[Length (Sec)]]&lt;600, "Short", RawData[[#This Row],[Length (Sec)]]&lt;1200, "Mid", RawData[[#This Row],[Length (Sec)]]&gt;1199, "Long")</f>
        <v>Mid</v>
      </c>
      <c r="R109" s="4" t="b">
        <f t="shared" ca="1" si="4"/>
        <v>0</v>
      </c>
      <c r="S109" s="4" t="b">
        <f t="shared" si="5"/>
        <v>1</v>
      </c>
      <c r="T109" s="4">
        <v>1</v>
      </c>
      <c r="U109" s="4"/>
      <c r="V109" s="4">
        <v>1</v>
      </c>
      <c r="W109" s="4"/>
      <c r="X109" s="4"/>
      <c r="Y109" s="4">
        <v>1</v>
      </c>
      <c r="Z109" s="4"/>
      <c r="AA109" s="4">
        <v>1</v>
      </c>
      <c r="AB109" s="4"/>
      <c r="AC109" s="4">
        <v>1</v>
      </c>
      <c r="AD109" s="4"/>
      <c r="AE109" s="4"/>
      <c r="AF109" s="4"/>
      <c r="AG109" s="4"/>
      <c r="AH109" s="4"/>
    </row>
    <row r="110" spans="1:34" ht="15" thickBot="1" x14ac:dyDescent="0.4">
      <c r="A110" s="1" t="s">
        <v>167</v>
      </c>
      <c r="B110" s="1" t="s">
        <v>17</v>
      </c>
      <c r="C110" s="10">
        <v>43894</v>
      </c>
      <c r="D110" s="14">
        <v>49786</v>
      </c>
      <c r="E110" s="18">
        <v>3.6419999999999999</v>
      </c>
      <c r="F110" s="14">
        <v>365</v>
      </c>
      <c r="G110" s="18">
        <v>1.429</v>
      </c>
      <c r="H110" s="18">
        <v>33.29</v>
      </c>
      <c r="I110" s="14">
        <v>81379</v>
      </c>
      <c r="J110" s="14">
        <v>6751.0268999999998</v>
      </c>
      <c r="K110" s="2">
        <v>65</v>
      </c>
      <c r="L110" s="18">
        <v>116.236</v>
      </c>
      <c r="M110" s="14">
        <v>2273348</v>
      </c>
      <c r="N110" s="4">
        <v>2.29</v>
      </c>
      <c r="O110" s="82">
        <v>1.0381944444444444E-2</v>
      </c>
      <c r="P110" s="86">
        <f t="shared" si="8"/>
        <v>897</v>
      </c>
      <c r="Q110" s="4" t="str" cm="1">
        <f t="array" ref="Q110">_xlfn.IFS(RawData[[#This Row],[Length (Sec)]]&lt;600, "Short", RawData[[#This Row],[Length (Sec)]]&lt;1200, "Mid", RawData[[#This Row],[Length (Sec)]]&gt;1199, "Long")</f>
        <v>Mid</v>
      </c>
      <c r="R110" s="4" t="b">
        <f t="shared" ca="1" si="4"/>
        <v>0</v>
      </c>
      <c r="S110" s="4" t="b">
        <f t="shared" si="5"/>
        <v>1</v>
      </c>
      <c r="T110" s="4">
        <v>1</v>
      </c>
      <c r="U110" s="4">
        <v>1</v>
      </c>
      <c r="V110" s="4"/>
      <c r="W110" s="4"/>
      <c r="X110" s="4"/>
      <c r="Y110" s="4">
        <v>1</v>
      </c>
      <c r="Z110" s="4"/>
      <c r="AA110" s="4"/>
      <c r="AB110" s="4"/>
      <c r="AC110" s="4"/>
      <c r="AD110" s="4"/>
      <c r="AE110" s="4"/>
      <c r="AF110" s="4"/>
      <c r="AG110" s="4">
        <v>1</v>
      </c>
      <c r="AH110" s="4"/>
    </row>
    <row r="111" spans="1:34" ht="15" thickBot="1" x14ac:dyDescent="0.4">
      <c r="A111" s="1" t="s">
        <v>116</v>
      </c>
      <c r="B111" s="1" t="s">
        <v>37</v>
      </c>
      <c r="C111" s="10">
        <v>43889</v>
      </c>
      <c r="D111" s="14">
        <v>400583</v>
      </c>
      <c r="E111" s="18">
        <v>5.3550000000000004</v>
      </c>
      <c r="F111" s="14">
        <v>1668</v>
      </c>
      <c r="G111" s="18">
        <v>2.1869999999999998</v>
      </c>
      <c r="H111" s="18">
        <v>23.03</v>
      </c>
      <c r="I111" s="14">
        <v>704092</v>
      </c>
      <c r="J111" s="14">
        <v>65457.788999999997</v>
      </c>
      <c r="K111" s="2">
        <v>8477</v>
      </c>
      <c r="L111" s="18">
        <v>1535.3209999999999</v>
      </c>
      <c r="M111" s="14">
        <v>9853812</v>
      </c>
      <c r="N111" s="4">
        <v>4.91</v>
      </c>
      <c r="O111" s="82">
        <v>1.681712962962963E-2</v>
      </c>
      <c r="P111" s="86">
        <f t="shared" si="8"/>
        <v>1453</v>
      </c>
      <c r="Q111" s="4" t="str" cm="1">
        <f t="array" ref="Q111">_xlfn.IFS(RawData[[#This Row],[Length (Sec)]]&lt;600, "Short", RawData[[#This Row],[Length (Sec)]]&lt;1200, "Mid", RawData[[#This Row],[Length (Sec)]]&gt;1199, "Long")</f>
        <v>Long</v>
      </c>
      <c r="R111" s="4" t="b">
        <f t="shared" ca="1" si="4"/>
        <v>0</v>
      </c>
      <c r="S111" s="4" t="b">
        <f t="shared" si="5"/>
        <v>1</v>
      </c>
      <c r="T111" s="4">
        <v>1</v>
      </c>
      <c r="U111" s="4"/>
      <c r="V111" s="4"/>
      <c r="W111" s="4"/>
      <c r="X111" s="4">
        <v>1</v>
      </c>
      <c r="Y111" s="4">
        <v>1</v>
      </c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</row>
    <row r="112" spans="1:34" ht="15" thickBot="1" x14ac:dyDescent="0.4">
      <c r="A112" s="1" t="s">
        <v>98</v>
      </c>
      <c r="B112" s="1" t="s">
        <v>17</v>
      </c>
      <c r="C112" s="10">
        <v>43881</v>
      </c>
      <c r="D112" s="14">
        <v>54805</v>
      </c>
      <c r="E112" s="18">
        <v>3.2050000000000001</v>
      </c>
      <c r="F112" s="14">
        <v>2361</v>
      </c>
      <c r="G112" s="18">
        <v>0.55700000000000005</v>
      </c>
      <c r="H112" s="18">
        <v>52.5</v>
      </c>
      <c r="I112" s="14">
        <v>205643</v>
      </c>
      <c r="J112" s="14">
        <v>12535.1432</v>
      </c>
      <c r="K112" s="2">
        <v>791</v>
      </c>
      <c r="L112" s="18">
        <v>114.422</v>
      </c>
      <c r="M112" s="14">
        <v>3508012</v>
      </c>
      <c r="N112" s="4">
        <v>4.3</v>
      </c>
      <c r="O112" s="82">
        <v>4.8379629629629632E-3</v>
      </c>
      <c r="P112" s="86">
        <f t="shared" si="8"/>
        <v>418</v>
      </c>
      <c r="Q112" s="4" t="str" cm="1">
        <f t="array" ref="Q112">_xlfn.IFS(RawData[[#This Row],[Length (Sec)]]&lt;600, "Short", RawData[[#This Row],[Length (Sec)]]&lt;1200, "Mid", RawData[[#This Row],[Length (Sec)]]&gt;1199, "Long")</f>
        <v>Short</v>
      </c>
      <c r="R112" s="4" t="b">
        <f t="shared" ca="1" si="4"/>
        <v>0</v>
      </c>
      <c r="S112" s="4" t="b">
        <f t="shared" si="5"/>
        <v>1</v>
      </c>
      <c r="T112" s="4">
        <v>1</v>
      </c>
      <c r="U112" s="4"/>
      <c r="V112" s="4"/>
      <c r="W112" s="4"/>
      <c r="X112" s="4">
        <v>1</v>
      </c>
      <c r="Y112" s="4">
        <v>1</v>
      </c>
      <c r="Z112" s="4"/>
      <c r="AA112" s="4"/>
      <c r="AB112" s="4"/>
      <c r="AC112" s="4">
        <v>1</v>
      </c>
      <c r="AD112" s="4"/>
      <c r="AE112" s="4"/>
      <c r="AF112" s="4"/>
      <c r="AG112" s="4"/>
      <c r="AH112" s="4"/>
    </row>
    <row r="113" spans="1:34" ht="15" thickBot="1" x14ac:dyDescent="0.4">
      <c r="A113" s="1" t="s">
        <v>164</v>
      </c>
      <c r="B113" s="1" t="s">
        <v>18</v>
      </c>
      <c r="C113" s="10">
        <v>43874</v>
      </c>
      <c r="D113" s="14">
        <v>18255</v>
      </c>
      <c r="E113" s="18">
        <v>3.339</v>
      </c>
      <c r="F113" s="14">
        <v>399</v>
      </c>
      <c r="G113" s="18">
        <v>0.27700000000000002</v>
      </c>
      <c r="H113" s="18">
        <v>36.21</v>
      </c>
      <c r="I113" s="14">
        <v>142861</v>
      </c>
      <c r="J113" s="14">
        <v>11652.984</v>
      </c>
      <c r="K113" s="2">
        <v>751</v>
      </c>
      <c r="L113" s="18">
        <v>39.579000000000001</v>
      </c>
      <c r="M113" s="14">
        <v>2779966</v>
      </c>
      <c r="N113" s="4">
        <v>3.35</v>
      </c>
      <c r="O113" s="82">
        <v>9.386574074074075E-3</v>
      </c>
      <c r="P113" s="86">
        <f t="shared" si="8"/>
        <v>811</v>
      </c>
      <c r="Q113" s="4" t="str" cm="1">
        <f t="array" ref="Q113">_xlfn.IFS(RawData[[#This Row],[Length (Sec)]]&lt;600, "Short", RawData[[#This Row],[Length (Sec)]]&lt;1200, "Mid", RawData[[#This Row],[Length (Sec)]]&gt;1199, "Long")</f>
        <v>Mid</v>
      </c>
      <c r="R113" s="4" t="b">
        <f t="shared" ca="1" si="4"/>
        <v>0</v>
      </c>
      <c r="S113" s="4" t="b">
        <f t="shared" si="5"/>
        <v>1</v>
      </c>
      <c r="T113" s="4">
        <v>1</v>
      </c>
      <c r="U113" s="4"/>
      <c r="V113" s="4"/>
      <c r="W113" s="4"/>
      <c r="X113" s="4"/>
      <c r="Y113" s="4">
        <v>1</v>
      </c>
      <c r="Z113" s="4">
        <v>1</v>
      </c>
      <c r="AA113" s="4"/>
      <c r="AB113" s="4"/>
      <c r="AC113" s="4">
        <v>1</v>
      </c>
      <c r="AD113" s="4"/>
      <c r="AE113" s="4"/>
      <c r="AF113" s="4"/>
      <c r="AG113" s="4"/>
      <c r="AH113" s="4"/>
    </row>
    <row r="114" spans="1:34" ht="15" thickBot="1" x14ac:dyDescent="0.4">
      <c r="A114" s="1" t="s">
        <v>100</v>
      </c>
      <c r="B114" s="1" t="s">
        <v>17</v>
      </c>
      <c r="C114" s="10">
        <v>43866</v>
      </c>
      <c r="D114" s="14">
        <v>268432</v>
      </c>
      <c r="E114" s="18">
        <v>4.5510000000000002</v>
      </c>
      <c r="F114" s="14">
        <v>2263</v>
      </c>
      <c r="G114" s="18">
        <v>1.3169999999999999</v>
      </c>
      <c r="H114" s="18">
        <v>33.99</v>
      </c>
      <c r="I114" s="14">
        <v>595481</v>
      </c>
      <c r="J114" s="14">
        <v>62008.387199999997</v>
      </c>
      <c r="K114" s="2">
        <v>5109</v>
      </c>
      <c r="L114" s="18">
        <v>783.66899999999998</v>
      </c>
      <c r="M114" s="14">
        <v>14142970</v>
      </c>
      <c r="N114" s="4">
        <v>3.18</v>
      </c>
      <c r="O114" s="82">
        <v>1.2766203703703703E-2</v>
      </c>
      <c r="P114" s="86">
        <f t="shared" si="8"/>
        <v>1103</v>
      </c>
      <c r="Q114" s="4" t="str" cm="1">
        <f t="array" ref="Q114">_xlfn.IFS(RawData[[#This Row],[Length (Sec)]]&lt;600, "Short", RawData[[#This Row],[Length (Sec)]]&lt;1200, "Mid", RawData[[#This Row],[Length (Sec)]]&gt;1199, "Long")</f>
        <v>Mid</v>
      </c>
      <c r="R114" s="4" t="b">
        <f t="shared" ca="1" si="4"/>
        <v>0</v>
      </c>
      <c r="S114" s="4" t="b">
        <f t="shared" si="5"/>
        <v>1</v>
      </c>
      <c r="T114" s="4">
        <v>1</v>
      </c>
      <c r="U114" s="4"/>
      <c r="V114" s="4"/>
      <c r="W114" s="4"/>
      <c r="X114" s="4">
        <v>1</v>
      </c>
      <c r="Y114" s="4">
        <v>1</v>
      </c>
      <c r="Z114" s="4"/>
      <c r="AA114" s="4">
        <v>1</v>
      </c>
      <c r="AB114" s="4"/>
      <c r="AC114" s="4">
        <v>1</v>
      </c>
      <c r="AD114" s="4"/>
      <c r="AE114" s="4"/>
      <c r="AF114" s="4"/>
      <c r="AG114" s="4"/>
      <c r="AH114" s="4"/>
    </row>
    <row r="115" spans="1:34" ht="15" thickBot="1" x14ac:dyDescent="0.4">
      <c r="A115" s="1" t="s">
        <v>99</v>
      </c>
      <c r="B115" s="1" t="s">
        <v>18</v>
      </c>
      <c r="C115" s="10">
        <v>43859</v>
      </c>
      <c r="D115" s="14">
        <v>67465</v>
      </c>
      <c r="E115" s="18">
        <v>3.0569999999999999</v>
      </c>
      <c r="F115" s="14">
        <v>2269</v>
      </c>
      <c r="G115" s="18">
        <v>0.51900000000000002</v>
      </c>
      <c r="H115" s="18">
        <v>38.159999999999997</v>
      </c>
      <c r="I115" s="14">
        <v>251665</v>
      </c>
      <c r="J115" s="14">
        <v>17205.114399999999</v>
      </c>
      <c r="K115" s="2">
        <v>1213</v>
      </c>
      <c r="L115" s="18">
        <v>130.542</v>
      </c>
      <c r="M115" s="14">
        <v>4486722</v>
      </c>
      <c r="N115" s="4">
        <v>4.0199999999999996</v>
      </c>
      <c r="O115" s="82">
        <v>7.4652777777777781E-3</v>
      </c>
      <c r="P115" s="86">
        <f t="shared" si="8"/>
        <v>645</v>
      </c>
      <c r="Q115" s="4" t="str" cm="1">
        <f t="array" ref="Q115">_xlfn.IFS(RawData[[#This Row],[Length (Sec)]]&lt;600, "Short", RawData[[#This Row],[Length (Sec)]]&lt;1200, "Mid", RawData[[#This Row],[Length (Sec)]]&gt;1199, "Long")</f>
        <v>Mid</v>
      </c>
      <c r="R115" s="4" t="b">
        <f t="shared" ca="1" si="4"/>
        <v>0</v>
      </c>
      <c r="S115" s="4" t="b">
        <f t="shared" si="5"/>
        <v>1</v>
      </c>
      <c r="T115" s="4">
        <v>1</v>
      </c>
      <c r="U115" s="4"/>
      <c r="V115" s="4">
        <v>1</v>
      </c>
      <c r="W115" s="4">
        <v>1</v>
      </c>
      <c r="X115" s="4"/>
      <c r="Y115" s="4">
        <v>1</v>
      </c>
      <c r="Z115" s="4"/>
      <c r="AA115" s="4">
        <v>1</v>
      </c>
      <c r="AB115" s="4"/>
      <c r="AC115" s="4">
        <v>1</v>
      </c>
      <c r="AD115" s="4"/>
      <c r="AE115" s="4"/>
      <c r="AF115" s="4"/>
      <c r="AG115" s="4"/>
      <c r="AH115" s="4"/>
    </row>
    <row r="116" spans="1:34" ht="15" thickBot="1" x14ac:dyDescent="0.4">
      <c r="A116" s="1" t="s">
        <v>82</v>
      </c>
      <c r="B116" s="1" t="s">
        <v>17</v>
      </c>
      <c r="C116" s="10">
        <v>43851</v>
      </c>
      <c r="D116" s="14">
        <v>93773</v>
      </c>
      <c r="E116" s="18">
        <v>3.1280000000000001</v>
      </c>
      <c r="F116" s="14">
        <v>3782</v>
      </c>
      <c r="G116" s="18">
        <v>0.57599999999999996</v>
      </c>
      <c r="H116" s="18">
        <v>50.67</v>
      </c>
      <c r="I116" s="14">
        <v>325030</v>
      </c>
      <c r="J116" s="14">
        <v>17474.8334</v>
      </c>
      <c r="K116" s="2">
        <v>1557</v>
      </c>
      <c r="L116" s="18">
        <v>186.92500000000001</v>
      </c>
      <c r="M116" s="14">
        <v>5917871</v>
      </c>
      <c r="N116" s="4">
        <v>4.05</v>
      </c>
      <c r="O116" s="82">
        <v>4.4212962962962956E-3</v>
      </c>
      <c r="P116" s="86">
        <f t="shared" si="8"/>
        <v>382</v>
      </c>
      <c r="Q116" s="4" t="str" cm="1">
        <f t="array" ref="Q116">_xlfn.IFS(RawData[[#This Row],[Length (Sec)]]&lt;600, "Short", RawData[[#This Row],[Length (Sec)]]&lt;1200, "Mid", RawData[[#This Row],[Length (Sec)]]&gt;1199, "Long")</f>
        <v>Short</v>
      </c>
      <c r="R116" s="4" t="b">
        <f t="shared" ca="1" si="4"/>
        <v>0</v>
      </c>
      <c r="S116" s="4" t="b">
        <f t="shared" si="5"/>
        <v>1</v>
      </c>
      <c r="T116" s="4">
        <v>1</v>
      </c>
      <c r="U116" s="4"/>
      <c r="V116" s="4">
        <v>1</v>
      </c>
      <c r="W116" s="4">
        <v>1</v>
      </c>
      <c r="X116" s="4"/>
      <c r="Y116" s="4">
        <v>1</v>
      </c>
      <c r="Z116" s="4"/>
      <c r="AA116" s="4"/>
      <c r="AB116" s="4"/>
      <c r="AC116" s="4">
        <v>1</v>
      </c>
      <c r="AD116" s="4"/>
      <c r="AE116" s="4"/>
      <c r="AF116" s="4"/>
      <c r="AG116" s="4"/>
      <c r="AH116" s="4"/>
    </row>
    <row r="117" spans="1:34" ht="15" thickBot="1" x14ac:dyDescent="0.4">
      <c r="A117" s="1" t="s">
        <v>121</v>
      </c>
      <c r="B117" s="1" t="s">
        <v>37</v>
      </c>
      <c r="C117" s="10">
        <v>43844</v>
      </c>
      <c r="D117" s="14">
        <v>411892</v>
      </c>
      <c r="E117" s="18">
        <v>5.2629999999999999</v>
      </c>
      <c r="F117" s="14">
        <v>1545</v>
      </c>
      <c r="G117" s="18">
        <v>2.0960000000000001</v>
      </c>
      <c r="H117" s="18">
        <v>24.33</v>
      </c>
      <c r="I117" s="14">
        <v>696013</v>
      </c>
      <c r="J117" s="14">
        <v>73948.720300000001</v>
      </c>
      <c r="K117" s="2">
        <v>7244</v>
      </c>
      <c r="L117" s="18">
        <v>1456.0039999999999</v>
      </c>
      <c r="M117" s="14">
        <v>11353100</v>
      </c>
      <c r="N117" s="4">
        <v>4.38</v>
      </c>
      <c r="O117" s="82">
        <v>1.8194444444444444E-2</v>
      </c>
      <c r="P117" s="86">
        <f t="shared" si="8"/>
        <v>1572</v>
      </c>
      <c r="Q117" s="4" t="str" cm="1">
        <f t="array" ref="Q117">_xlfn.IFS(RawData[[#This Row],[Length (Sec)]]&lt;600, "Short", RawData[[#This Row],[Length (Sec)]]&lt;1200, "Mid", RawData[[#This Row],[Length (Sec)]]&gt;1199, "Long")</f>
        <v>Long</v>
      </c>
      <c r="R117" s="4" t="b">
        <f t="shared" ca="1" si="4"/>
        <v>0</v>
      </c>
      <c r="S117" s="4" t="b">
        <f t="shared" si="5"/>
        <v>1</v>
      </c>
      <c r="T117" s="4">
        <v>1</v>
      </c>
      <c r="U117" s="4"/>
      <c r="V117" s="4"/>
      <c r="W117" s="4"/>
      <c r="X117" s="4">
        <v>1</v>
      </c>
      <c r="Y117" s="4">
        <v>1</v>
      </c>
      <c r="Z117" s="4"/>
      <c r="AA117" s="4">
        <v>1</v>
      </c>
      <c r="AB117" s="4"/>
      <c r="AC117" s="4">
        <v>1</v>
      </c>
      <c r="AD117" s="4"/>
      <c r="AE117" s="4"/>
      <c r="AF117" s="4"/>
      <c r="AG117" s="4">
        <v>1</v>
      </c>
      <c r="AH117" s="4"/>
    </row>
    <row r="118" spans="1:34" ht="15" thickBot="1" x14ac:dyDescent="0.4">
      <c r="A118" s="1" t="s">
        <v>112</v>
      </c>
      <c r="B118" s="1" t="s">
        <v>17</v>
      </c>
      <c r="C118" s="10">
        <v>43837</v>
      </c>
      <c r="D118" s="14">
        <v>275622</v>
      </c>
      <c r="E118" s="18">
        <v>5.9969999999999999</v>
      </c>
      <c r="F118" s="14">
        <v>1814</v>
      </c>
      <c r="G118" s="18">
        <v>2.2400000000000002</v>
      </c>
      <c r="H118" s="18">
        <v>32.04</v>
      </c>
      <c r="I118" s="14">
        <v>504347</v>
      </c>
      <c r="J118" s="14">
        <v>63242.069100000001</v>
      </c>
      <c r="K118" s="2">
        <v>7144</v>
      </c>
      <c r="L118" s="18">
        <v>1127.49</v>
      </c>
      <c r="M118" s="14">
        <v>11606070</v>
      </c>
      <c r="N118" s="4">
        <v>2.79</v>
      </c>
      <c r="O118" s="82">
        <v>1.6307870370370372E-2</v>
      </c>
      <c r="P118" s="86">
        <f t="shared" si="8"/>
        <v>1409</v>
      </c>
      <c r="Q118" s="4" t="str" cm="1">
        <f t="array" ref="Q118">_xlfn.IFS(RawData[[#This Row],[Length (Sec)]]&lt;600, "Short", RawData[[#This Row],[Length (Sec)]]&lt;1200, "Mid", RawData[[#This Row],[Length (Sec)]]&gt;1199, "Long")</f>
        <v>Long</v>
      </c>
      <c r="R118" s="4" t="b">
        <f t="shared" ca="1" si="4"/>
        <v>0</v>
      </c>
      <c r="S118" s="4" t="b">
        <f t="shared" si="5"/>
        <v>1</v>
      </c>
      <c r="T118" s="4">
        <v>1</v>
      </c>
      <c r="U118" s="4"/>
      <c r="V118" s="4"/>
      <c r="W118" s="4"/>
      <c r="X118" s="4">
        <v>1</v>
      </c>
      <c r="Y118" s="4">
        <v>1</v>
      </c>
      <c r="Z118" s="4"/>
      <c r="AA118" s="4"/>
      <c r="AB118" s="4"/>
      <c r="AC118" s="4">
        <v>1</v>
      </c>
      <c r="AD118" s="4"/>
      <c r="AE118" s="4"/>
      <c r="AF118" s="4"/>
      <c r="AG118" s="4"/>
      <c r="AH118" s="4"/>
    </row>
    <row r="119" spans="1:34" ht="15" thickBot="1" x14ac:dyDescent="0.4">
      <c r="A119" s="1" t="s">
        <v>93</v>
      </c>
      <c r="B119" s="1" t="s">
        <v>17</v>
      </c>
      <c r="C119" s="10">
        <v>43830</v>
      </c>
      <c r="D119" s="14">
        <v>171804</v>
      </c>
      <c r="E119" s="18">
        <v>3.15</v>
      </c>
      <c r="F119" s="14">
        <v>2815</v>
      </c>
      <c r="G119" s="18">
        <v>0.752</v>
      </c>
      <c r="H119" s="18">
        <v>29.66</v>
      </c>
      <c r="I119" s="14">
        <v>465598</v>
      </c>
      <c r="J119" s="14">
        <v>27044.022499999999</v>
      </c>
      <c r="K119" s="2">
        <v>2208</v>
      </c>
      <c r="L119" s="18">
        <v>349.33300000000003</v>
      </c>
      <c r="M119" s="14">
        <v>8009400</v>
      </c>
      <c r="N119" s="4">
        <v>3.67</v>
      </c>
      <c r="O119" s="82">
        <v>8.1597222222222227E-3</v>
      </c>
      <c r="P119" s="86">
        <f t="shared" si="8"/>
        <v>705</v>
      </c>
      <c r="Q119" s="4" t="str" cm="1">
        <f t="array" ref="Q119">_xlfn.IFS(RawData[[#This Row],[Length (Sec)]]&lt;600, "Short", RawData[[#This Row],[Length (Sec)]]&lt;1200, "Mid", RawData[[#This Row],[Length (Sec)]]&gt;1199, "Long")</f>
        <v>Mid</v>
      </c>
      <c r="R119" s="4" t="b">
        <f t="shared" ca="1" si="4"/>
        <v>0</v>
      </c>
      <c r="S119" s="4" t="b">
        <f t="shared" si="5"/>
        <v>1</v>
      </c>
      <c r="T119" s="4">
        <v>1</v>
      </c>
      <c r="U119" s="4"/>
      <c r="V119" s="4">
        <v>1</v>
      </c>
      <c r="W119" s="4"/>
      <c r="X119" s="4"/>
      <c r="Y119" s="4">
        <v>1</v>
      </c>
      <c r="Z119" s="4"/>
      <c r="AA119" s="4"/>
      <c r="AB119" s="4"/>
      <c r="AC119" s="4">
        <v>1</v>
      </c>
      <c r="AD119" s="4"/>
      <c r="AE119" s="4"/>
      <c r="AF119" s="4"/>
      <c r="AG119" s="4"/>
      <c r="AH119" s="4"/>
    </row>
    <row r="120" spans="1:34" ht="15" thickBot="1" x14ac:dyDescent="0.4">
      <c r="A120" s="1" t="s">
        <v>277</v>
      </c>
      <c r="B120" s="1" t="s">
        <v>37</v>
      </c>
      <c r="C120" s="10">
        <v>43826</v>
      </c>
      <c r="D120" s="14">
        <v>37609</v>
      </c>
      <c r="E120" s="18">
        <v>5.0549999999999997</v>
      </c>
      <c r="F120" s="14">
        <v>0</v>
      </c>
      <c r="G120" s="18">
        <v>0.80900000000000005</v>
      </c>
      <c r="H120" s="18">
        <v>22.61</v>
      </c>
      <c r="I120" s="14">
        <v>153159</v>
      </c>
      <c r="J120" s="14">
        <v>9811.8014000000003</v>
      </c>
      <c r="K120" s="2">
        <v>844</v>
      </c>
      <c r="L120" s="18">
        <v>123.788</v>
      </c>
      <c r="M120" s="14">
        <v>2455235</v>
      </c>
      <c r="N120" s="4">
        <v>4.2</v>
      </c>
      <c r="O120" s="82">
        <v>1.1805555555555555E-2</v>
      </c>
      <c r="P120" s="86">
        <f t="shared" si="8"/>
        <v>1020</v>
      </c>
      <c r="Q120" s="4" t="str" cm="1">
        <f t="array" ref="Q120">_xlfn.IFS(RawData[[#This Row],[Length (Sec)]]&lt;600, "Short", RawData[[#This Row],[Length (Sec)]]&lt;1200, "Mid", RawData[[#This Row],[Length (Sec)]]&gt;1199, "Long")</f>
        <v>Mid</v>
      </c>
      <c r="R120" s="4" t="b">
        <f t="shared" ca="1" si="4"/>
        <v>0</v>
      </c>
      <c r="S120" s="4" t="b">
        <f t="shared" si="5"/>
        <v>1</v>
      </c>
      <c r="T120" s="4">
        <v>1</v>
      </c>
      <c r="U120" s="4"/>
      <c r="V120" s="4"/>
      <c r="W120" s="4"/>
      <c r="X120" s="4">
        <v>1</v>
      </c>
      <c r="Y120" s="4">
        <v>1</v>
      </c>
      <c r="Z120" s="4"/>
      <c r="AA120" s="4"/>
      <c r="AB120" s="4"/>
      <c r="AC120" s="4">
        <v>1</v>
      </c>
      <c r="AD120" s="4"/>
      <c r="AE120" s="4"/>
      <c r="AF120" s="4"/>
      <c r="AG120" s="4">
        <v>1</v>
      </c>
      <c r="AH120" s="4"/>
    </row>
    <row r="121" spans="1:34" ht="15" thickBot="1" x14ac:dyDescent="0.4">
      <c r="A121" s="1" t="s">
        <v>206</v>
      </c>
      <c r="B121" s="1" t="s">
        <v>17</v>
      </c>
      <c r="C121" s="10">
        <v>43824</v>
      </c>
      <c r="D121" s="14">
        <v>40874</v>
      </c>
      <c r="E121" s="18">
        <v>3.8119999999999998</v>
      </c>
      <c r="F121" s="14">
        <v>76</v>
      </c>
      <c r="G121" s="18">
        <v>1.5249999999999999</v>
      </c>
      <c r="H121" s="18">
        <v>20.239999999999998</v>
      </c>
      <c r="I121" s="14">
        <v>65353</v>
      </c>
      <c r="J121" s="14">
        <v>3225.5879</v>
      </c>
      <c r="K121" s="2">
        <v>-3</v>
      </c>
      <c r="L121" s="18">
        <v>99.671000000000006</v>
      </c>
      <c r="M121" s="14">
        <v>1723809</v>
      </c>
      <c r="N121" s="4">
        <v>2.59</v>
      </c>
      <c r="O121" s="82">
        <v>1.0162037037037037E-2</v>
      </c>
      <c r="P121" s="86">
        <f t="shared" si="8"/>
        <v>878</v>
      </c>
      <c r="Q121" s="4" t="str" cm="1">
        <f t="array" ref="Q121">_xlfn.IFS(RawData[[#This Row],[Length (Sec)]]&lt;600, "Short", RawData[[#This Row],[Length (Sec)]]&lt;1200, "Mid", RawData[[#This Row],[Length (Sec)]]&gt;1199, "Long")</f>
        <v>Mid</v>
      </c>
      <c r="R121" s="4" t="b">
        <f t="shared" ca="1" si="4"/>
        <v>0</v>
      </c>
      <c r="S121" s="4" t="b">
        <f t="shared" si="5"/>
        <v>1</v>
      </c>
      <c r="T121" s="4">
        <v>1</v>
      </c>
      <c r="U121" s="4"/>
      <c r="V121" s="4"/>
      <c r="W121" s="4"/>
      <c r="X121" s="4">
        <v>1</v>
      </c>
      <c r="Y121" s="4">
        <v>1</v>
      </c>
      <c r="Z121" s="4"/>
      <c r="AA121" s="4"/>
      <c r="AB121" s="4"/>
      <c r="AC121" s="4">
        <v>1</v>
      </c>
      <c r="AD121" s="4"/>
      <c r="AE121" s="4"/>
      <c r="AF121" s="4"/>
      <c r="AG121" s="4"/>
      <c r="AH121" s="4"/>
    </row>
    <row r="122" spans="1:34" ht="15" thickBot="1" x14ac:dyDescent="0.4">
      <c r="A122" s="1" t="s">
        <v>101</v>
      </c>
      <c r="B122" s="1" t="s">
        <v>17</v>
      </c>
      <c r="C122" s="10">
        <v>43820</v>
      </c>
      <c r="D122" s="14">
        <v>191073</v>
      </c>
      <c r="E122" s="18">
        <v>3.0550000000000002</v>
      </c>
      <c r="F122" s="14">
        <v>2245</v>
      </c>
      <c r="G122" s="18">
        <v>1.367</v>
      </c>
      <c r="H122" s="18">
        <v>37.56</v>
      </c>
      <c r="I122" s="14">
        <v>345872</v>
      </c>
      <c r="J122" s="14">
        <v>34138.134599999998</v>
      </c>
      <c r="K122" s="2">
        <v>1035</v>
      </c>
      <c r="L122" s="18">
        <v>471.91500000000002</v>
      </c>
      <c r="M122" s="14">
        <v>10147704</v>
      </c>
      <c r="N122" s="4">
        <v>2.21</v>
      </c>
      <c r="O122" s="82">
        <v>1.0949074074074075E-2</v>
      </c>
      <c r="P122" s="86">
        <f t="shared" si="8"/>
        <v>946</v>
      </c>
      <c r="Q122" s="4" t="str" cm="1">
        <f t="array" ref="Q122">_xlfn.IFS(RawData[[#This Row],[Length (Sec)]]&lt;600, "Short", RawData[[#This Row],[Length (Sec)]]&lt;1200, "Mid", RawData[[#This Row],[Length (Sec)]]&gt;1199, "Long")</f>
        <v>Mid</v>
      </c>
      <c r="R122" s="4" t="b">
        <f t="shared" ca="1" si="4"/>
        <v>0</v>
      </c>
      <c r="S122" s="4" t="b">
        <f t="shared" si="5"/>
        <v>1</v>
      </c>
      <c r="T122" s="4">
        <v>1</v>
      </c>
      <c r="U122" s="4">
        <v>1</v>
      </c>
      <c r="V122" s="4"/>
      <c r="W122" s="4"/>
      <c r="X122" s="4"/>
      <c r="Y122" s="4">
        <v>1</v>
      </c>
      <c r="Z122" s="4"/>
      <c r="AA122" s="4"/>
      <c r="AB122" s="4"/>
      <c r="AC122" s="4"/>
      <c r="AD122" s="4"/>
      <c r="AE122" s="4"/>
      <c r="AF122" s="4"/>
      <c r="AG122" s="4">
        <v>1</v>
      </c>
      <c r="AH122" s="4"/>
    </row>
    <row r="123" spans="1:34" ht="15" thickBot="1" x14ac:dyDescent="0.4">
      <c r="A123" s="1" t="s">
        <v>311</v>
      </c>
      <c r="B123" s="1" t="s">
        <v>17</v>
      </c>
      <c r="C123" s="10">
        <v>43816</v>
      </c>
      <c r="D123" s="14">
        <v>125092</v>
      </c>
      <c r="E123" s="18">
        <v>4.0860000000000003</v>
      </c>
      <c r="F123" s="14">
        <v>0</v>
      </c>
      <c r="G123" s="18">
        <v>0.871</v>
      </c>
      <c r="H123" s="18">
        <v>39.880000000000003</v>
      </c>
      <c r="I123" s="14">
        <v>382717</v>
      </c>
      <c r="J123" s="14">
        <v>23998.5645</v>
      </c>
      <c r="K123" s="2">
        <v>2559</v>
      </c>
      <c r="L123" s="18">
        <v>332.72699999999998</v>
      </c>
      <c r="M123" s="14">
        <v>6453127</v>
      </c>
      <c r="N123" s="4">
        <v>4.33</v>
      </c>
      <c r="O123" s="82">
        <v>6.5509259259259262E-3</v>
      </c>
      <c r="P123" s="86">
        <f t="shared" si="8"/>
        <v>566</v>
      </c>
      <c r="Q123" s="4" t="str" cm="1">
        <f t="array" ref="Q123">_xlfn.IFS(RawData[[#This Row],[Length (Sec)]]&lt;600, "Short", RawData[[#This Row],[Length (Sec)]]&lt;1200, "Mid", RawData[[#This Row],[Length (Sec)]]&gt;1199, "Long")</f>
        <v>Short</v>
      </c>
      <c r="R123" s="4" t="b">
        <f t="shared" ca="1" si="4"/>
        <v>0</v>
      </c>
      <c r="S123" s="4" t="b">
        <f t="shared" si="5"/>
        <v>1</v>
      </c>
      <c r="T123" s="4">
        <v>1</v>
      </c>
      <c r="U123" s="4"/>
      <c r="V123" s="4">
        <v>1</v>
      </c>
      <c r="W123" s="4"/>
      <c r="X123" s="4"/>
      <c r="Y123" s="4">
        <v>1</v>
      </c>
      <c r="Z123" s="4"/>
      <c r="AA123" s="4">
        <v>1</v>
      </c>
      <c r="AB123" s="4"/>
      <c r="AC123" s="4">
        <v>1</v>
      </c>
      <c r="AD123" s="4"/>
      <c r="AE123" s="4"/>
      <c r="AF123" s="4"/>
      <c r="AG123" s="4"/>
      <c r="AH123" s="4"/>
    </row>
    <row r="124" spans="1:34" ht="15" thickBot="1" x14ac:dyDescent="0.4">
      <c r="A124" s="1" t="s">
        <v>139</v>
      </c>
      <c r="B124" s="1" t="s">
        <v>37</v>
      </c>
      <c r="C124" s="10">
        <v>43810</v>
      </c>
      <c r="D124" s="14">
        <v>60917</v>
      </c>
      <c r="E124" s="18">
        <v>4.2850000000000001</v>
      </c>
      <c r="F124" s="14">
        <v>897</v>
      </c>
      <c r="G124" s="18">
        <v>0.76500000000000001</v>
      </c>
      <c r="H124" s="18">
        <v>25.58</v>
      </c>
      <c r="I124" s="14">
        <v>235843</v>
      </c>
      <c r="J124" s="14">
        <v>22825.223699999999</v>
      </c>
      <c r="K124" s="2">
        <v>1117</v>
      </c>
      <c r="L124" s="18">
        <v>180.232</v>
      </c>
      <c r="M124" s="14">
        <v>5277042</v>
      </c>
      <c r="N124" s="4">
        <v>3.18</v>
      </c>
      <c r="O124" s="82">
        <v>1.5763888888888886E-2</v>
      </c>
      <c r="P124" s="86">
        <f t="shared" si="8"/>
        <v>1362</v>
      </c>
      <c r="Q124" s="4" t="str" cm="1">
        <f t="array" ref="Q124">_xlfn.IFS(RawData[[#This Row],[Length (Sec)]]&lt;600, "Short", RawData[[#This Row],[Length (Sec)]]&lt;1200, "Mid", RawData[[#This Row],[Length (Sec)]]&gt;1199, "Long")</f>
        <v>Long</v>
      </c>
      <c r="R124" s="4" t="b">
        <f t="shared" ca="1" si="4"/>
        <v>0</v>
      </c>
      <c r="S124" s="4" t="b">
        <f t="shared" si="5"/>
        <v>1</v>
      </c>
      <c r="T124" s="4">
        <v>1</v>
      </c>
      <c r="U124" s="4">
        <v>1</v>
      </c>
      <c r="V124" s="4"/>
      <c r="W124" s="4">
        <v>1</v>
      </c>
      <c r="X124" s="4">
        <v>1</v>
      </c>
      <c r="Y124" s="4">
        <v>1</v>
      </c>
      <c r="Z124" s="4"/>
      <c r="AA124" s="4">
        <v>1</v>
      </c>
      <c r="AB124" s="4"/>
      <c r="AC124" s="4"/>
      <c r="AD124" s="4"/>
      <c r="AE124" s="4"/>
      <c r="AF124" s="4"/>
      <c r="AG124" s="4"/>
      <c r="AH124" s="4"/>
    </row>
    <row r="125" spans="1:34" ht="15" thickBot="1" x14ac:dyDescent="0.4">
      <c r="A125" s="1" t="s">
        <v>54</v>
      </c>
      <c r="B125" s="1" t="s">
        <v>17</v>
      </c>
      <c r="C125" s="10">
        <v>43805</v>
      </c>
      <c r="D125" s="14">
        <v>274364</v>
      </c>
      <c r="E125" s="18">
        <v>2.8130000000000002</v>
      </c>
      <c r="F125" s="14">
        <v>24247</v>
      </c>
      <c r="G125" s="18">
        <v>0.7</v>
      </c>
      <c r="H125" s="18">
        <v>48.48</v>
      </c>
      <c r="I125" s="14">
        <v>704048</v>
      </c>
      <c r="J125" s="14">
        <v>29391.387299999999</v>
      </c>
      <c r="K125" s="2">
        <v>8197</v>
      </c>
      <c r="L125" s="18">
        <v>491.96899999999999</v>
      </c>
      <c r="M125" s="14">
        <v>15648435</v>
      </c>
      <c r="N125" s="4">
        <v>3.04</v>
      </c>
      <c r="O125" s="82">
        <v>3.5879629629629629E-3</v>
      </c>
      <c r="P125" s="86">
        <f t="shared" si="8"/>
        <v>310</v>
      </c>
      <c r="Q125" s="4" t="str" cm="1">
        <f t="array" ref="Q125">_xlfn.IFS(RawData[[#This Row],[Length (Sec)]]&lt;600, "Short", RawData[[#This Row],[Length (Sec)]]&lt;1200, "Mid", RawData[[#This Row],[Length (Sec)]]&gt;1199, "Long")</f>
        <v>Short</v>
      </c>
      <c r="R125" s="4" t="b">
        <f t="shared" ca="1" si="4"/>
        <v>0</v>
      </c>
      <c r="S125" s="4" t="b">
        <f t="shared" si="5"/>
        <v>1</v>
      </c>
      <c r="T125" s="4">
        <v>1</v>
      </c>
      <c r="U125" s="4"/>
      <c r="V125" s="4">
        <v>1</v>
      </c>
      <c r="W125" s="4"/>
      <c r="X125" s="4"/>
      <c r="Y125" s="4">
        <v>1</v>
      </c>
      <c r="Z125" s="4"/>
      <c r="AA125" s="4">
        <v>1</v>
      </c>
      <c r="AB125" s="4"/>
      <c r="AC125" s="4"/>
      <c r="AD125" s="4"/>
      <c r="AE125" s="4"/>
      <c r="AF125" s="4"/>
      <c r="AG125" s="4"/>
      <c r="AH125" s="4"/>
    </row>
    <row r="126" spans="1:34" ht="15" thickBot="1" x14ac:dyDescent="0.4">
      <c r="A126" s="1" t="s">
        <v>119</v>
      </c>
      <c r="B126" s="1" t="s">
        <v>18</v>
      </c>
      <c r="C126" s="10">
        <v>43795</v>
      </c>
      <c r="D126" s="14">
        <v>384633</v>
      </c>
      <c r="E126" s="18">
        <v>3.6890000000000001</v>
      </c>
      <c r="F126" s="14">
        <v>1619</v>
      </c>
      <c r="G126" s="18">
        <v>1.39</v>
      </c>
      <c r="H126" s="18">
        <v>25.68</v>
      </c>
      <c r="I126" s="14">
        <v>743966</v>
      </c>
      <c r="J126" s="14">
        <v>70703.1011</v>
      </c>
      <c r="K126" s="2">
        <v>16535</v>
      </c>
      <c r="L126" s="18">
        <v>1031.646</v>
      </c>
      <c r="M126" s="14">
        <v>15154153</v>
      </c>
      <c r="N126" s="4">
        <v>3.23</v>
      </c>
      <c r="O126" s="82">
        <v>1.5416666666666667E-2</v>
      </c>
      <c r="P126" s="86">
        <f t="shared" si="8"/>
        <v>1332</v>
      </c>
      <c r="Q126" s="4" t="str" cm="1">
        <f t="array" ref="Q126">_xlfn.IFS(RawData[[#This Row],[Length (Sec)]]&lt;600, "Short", RawData[[#This Row],[Length (Sec)]]&lt;1200, "Mid", RawData[[#This Row],[Length (Sec)]]&gt;1199, "Long")</f>
        <v>Long</v>
      </c>
      <c r="R126" s="4" t="b">
        <f t="shared" ca="1" si="4"/>
        <v>0</v>
      </c>
      <c r="S126" s="4" t="b">
        <f t="shared" si="5"/>
        <v>1</v>
      </c>
      <c r="T126" s="4">
        <v>1</v>
      </c>
      <c r="U126" s="4">
        <v>1</v>
      </c>
      <c r="V126" s="4"/>
      <c r="W126" s="4"/>
      <c r="X126" s="4">
        <v>1</v>
      </c>
      <c r="Y126" s="4">
        <v>1</v>
      </c>
      <c r="Z126" s="4"/>
      <c r="AA126" s="4"/>
      <c r="AB126" s="4"/>
      <c r="AC126" s="4"/>
      <c r="AD126" s="4"/>
      <c r="AE126" s="4"/>
      <c r="AF126" s="4"/>
      <c r="AG126" s="4"/>
      <c r="AH126" s="4"/>
    </row>
    <row r="127" spans="1:34" ht="15" thickBot="1" x14ac:dyDescent="0.4">
      <c r="A127" s="1" t="s">
        <v>68</v>
      </c>
      <c r="B127" s="1" t="s">
        <v>18</v>
      </c>
      <c r="C127" s="10">
        <v>43789</v>
      </c>
      <c r="D127" s="14">
        <v>64422</v>
      </c>
      <c r="E127" s="18">
        <v>4.0780000000000003</v>
      </c>
      <c r="F127" s="14">
        <v>7636</v>
      </c>
      <c r="G127" s="18">
        <v>0.57999999999999996</v>
      </c>
      <c r="H127" s="18">
        <v>45.77</v>
      </c>
      <c r="I127" s="14">
        <v>294407</v>
      </c>
      <c r="J127" s="14">
        <v>14935.4547</v>
      </c>
      <c r="K127" s="2">
        <v>2918</v>
      </c>
      <c r="L127" s="18">
        <v>170.56899999999999</v>
      </c>
      <c r="M127" s="14">
        <v>4011066</v>
      </c>
      <c r="N127" s="4">
        <v>5.04</v>
      </c>
      <c r="O127" s="82">
        <v>4.6180555555555558E-3</v>
      </c>
      <c r="P127" s="86">
        <f t="shared" si="8"/>
        <v>399</v>
      </c>
      <c r="Q127" s="4" t="str" cm="1">
        <f t="array" ref="Q127">_xlfn.IFS(RawData[[#This Row],[Length (Sec)]]&lt;600, "Short", RawData[[#This Row],[Length (Sec)]]&lt;1200, "Mid", RawData[[#This Row],[Length (Sec)]]&gt;1199, "Long")</f>
        <v>Short</v>
      </c>
      <c r="R127" s="4" t="b">
        <f t="shared" ca="1" si="4"/>
        <v>0</v>
      </c>
      <c r="S127" s="4" t="b">
        <f t="shared" si="5"/>
        <v>1</v>
      </c>
      <c r="T127" s="4">
        <v>1</v>
      </c>
      <c r="U127" s="4"/>
      <c r="V127" s="4">
        <v>1</v>
      </c>
      <c r="W127" s="4"/>
      <c r="X127" s="4"/>
      <c r="Y127" s="4">
        <v>1</v>
      </c>
      <c r="Z127" s="4"/>
      <c r="AA127" s="4">
        <v>1</v>
      </c>
      <c r="AB127" s="4"/>
      <c r="AC127" s="4">
        <v>1</v>
      </c>
      <c r="AD127" s="4"/>
      <c r="AE127" s="4"/>
      <c r="AF127" s="4"/>
      <c r="AG127" s="4"/>
      <c r="AH127" s="4"/>
    </row>
    <row r="128" spans="1:34" ht="15" thickBot="1" x14ac:dyDescent="0.4">
      <c r="A128" s="1" t="s">
        <v>236</v>
      </c>
      <c r="B128" s="1" t="s">
        <v>17</v>
      </c>
      <c r="C128" s="10">
        <v>43783</v>
      </c>
      <c r="D128" s="14">
        <v>195911</v>
      </c>
      <c r="E128" s="18">
        <v>3.859</v>
      </c>
      <c r="F128" s="14">
        <v>0</v>
      </c>
      <c r="G128" s="18">
        <v>1.887</v>
      </c>
      <c r="H128" s="18">
        <v>25.94</v>
      </c>
      <c r="I128" s="14">
        <v>295293</v>
      </c>
      <c r="J128" s="14">
        <v>31260.380399999998</v>
      </c>
      <c r="K128" s="2">
        <v>779</v>
      </c>
      <c r="L128" s="18">
        <v>556.46</v>
      </c>
      <c r="M128" s="14">
        <v>10960621</v>
      </c>
      <c r="N128" s="4">
        <v>1.87</v>
      </c>
      <c r="O128" s="82">
        <v>1.7002314814814814E-2</v>
      </c>
      <c r="P128" s="86">
        <f t="shared" si="8"/>
        <v>1469</v>
      </c>
      <c r="Q128" s="4" t="str" cm="1">
        <f t="array" ref="Q128">_xlfn.IFS(RawData[[#This Row],[Length (Sec)]]&lt;600, "Short", RawData[[#This Row],[Length (Sec)]]&lt;1200, "Mid", RawData[[#This Row],[Length (Sec)]]&gt;1199, "Long")</f>
        <v>Long</v>
      </c>
      <c r="R128" s="4" t="b">
        <f t="shared" ca="1" si="4"/>
        <v>0</v>
      </c>
      <c r="S128" s="4" t="b">
        <f t="shared" si="5"/>
        <v>1</v>
      </c>
      <c r="T128" s="4">
        <v>1</v>
      </c>
      <c r="U128" s="4">
        <v>1</v>
      </c>
      <c r="V128" s="4"/>
      <c r="W128" s="4"/>
      <c r="X128" s="4"/>
      <c r="Y128" s="4">
        <v>1</v>
      </c>
      <c r="Z128" s="4">
        <v>1</v>
      </c>
      <c r="AA128" s="4"/>
      <c r="AB128" s="4"/>
      <c r="AC128" s="4"/>
      <c r="AD128" s="4"/>
      <c r="AE128" s="4"/>
      <c r="AF128" s="4"/>
      <c r="AG128" s="4">
        <v>1</v>
      </c>
      <c r="AH128" s="4"/>
    </row>
    <row r="129" spans="1:34" ht="15" thickBot="1" x14ac:dyDescent="0.4">
      <c r="A129" s="1" t="s">
        <v>339</v>
      </c>
      <c r="B129" s="1" t="s">
        <v>37</v>
      </c>
      <c r="C129" s="10">
        <v>43775</v>
      </c>
      <c r="D129" s="14">
        <v>13920</v>
      </c>
      <c r="E129" s="18">
        <v>4.5039999999999996</v>
      </c>
      <c r="F129" s="14">
        <v>0</v>
      </c>
      <c r="G129" s="18">
        <v>0.54400000000000004</v>
      </c>
      <c r="H129" s="18">
        <v>27.01</v>
      </c>
      <c r="I129" s="14">
        <v>83752</v>
      </c>
      <c r="J129" s="14">
        <v>7288.3786</v>
      </c>
      <c r="K129" s="2">
        <v>351</v>
      </c>
      <c r="L129" s="18">
        <v>45.579000000000001</v>
      </c>
      <c r="M129" s="14">
        <v>1929261</v>
      </c>
      <c r="N129" s="4">
        <v>3.06</v>
      </c>
      <c r="O129" s="82">
        <v>1.3425925925925924E-2</v>
      </c>
      <c r="P129" s="86">
        <f t="shared" si="8"/>
        <v>1160</v>
      </c>
      <c r="Q129" s="4" t="str" cm="1">
        <f t="array" ref="Q129">_xlfn.IFS(RawData[[#This Row],[Length (Sec)]]&lt;600, "Short", RawData[[#This Row],[Length (Sec)]]&lt;1200, "Mid", RawData[[#This Row],[Length (Sec)]]&gt;1199, "Long")</f>
        <v>Mid</v>
      </c>
      <c r="R129" s="4" t="b">
        <f t="shared" ca="1" si="4"/>
        <v>0</v>
      </c>
      <c r="S129" s="4" t="b">
        <f t="shared" si="5"/>
        <v>1</v>
      </c>
      <c r="T129" s="4">
        <v>1</v>
      </c>
      <c r="U129" s="4"/>
      <c r="V129" s="4"/>
      <c r="W129" s="4">
        <v>1</v>
      </c>
      <c r="X129" s="4">
        <v>1</v>
      </c>
      <c r="Y129" s="4">
        <v>1</v>
      </c>
      <c r="Z129" s="4"/>
      <c r="AA129" s="4">
        <v>1</v>
      </c>
      <c r="AB129" s="4"/>
      <c r="AC129" s="4"/>
      <c r="AD129" s="4"/>
      <c r="AE129" s="4"/>
      <c r="AF129" s="4"/>
      <c r="AG129" s="4"/>
      <c r="AH129" s="4"/>
    </row>
    <row r="130" spans="1:34" ht="15" thickBot="1" x14ac:dyDescent="0.4">
      <c r="A130" s="1" t="s">
        <v>313</v>
      </c>
      <c r="B130" s="1" t="s">
        <v>37</v>
      </c>
      <c r="C130" s="10">
        <v>43769</v>
      </c>
      <c r="D130" s="14">
        <v>63633</v>
      </c>
      <c r="E130" s="18">
        <v>4.2670000000000003</v>
      </c>
      <c r="F130" s="14">
        <v>0</v>
      </c>
      <c r="G130" s="18">
        <v>1.3879999999999999</v>
      </c>
      <c r="H130" s="18">
        <v>43.78</v>
      </c>
      <c r="I130" s="14">
        <v>133562</v>
      </c>
      <c r="J130" s="14">
        <v>7000.8058000000001</v>
      </c>
      <c r="K130" s="2">
        <v>455</v>
      </c>
      <c r="L130" s="18">
        <v>185.346</v>
      </c>
      <c r="M130" s="14">
        <v>2675566</v>
      </c>
      <c r="N130" s="4">
        <v>3.73</v>
      </c>
      <c r="O130" s="82">
        <v>4.9884259259259265E-3</v>
      </c>
      <c r="P130" s="86">
        <f t="shared" si="8"/>
        <v>431</v>
      </c>
      <c r="Q130" s="4" t="str" cm="1">
        <f t="array" ref="Q130">_xlfn.IFS(RawData[[#This Row],[Length (Sec)]]&lt;600, "Short", RawData[[#This Row],[Length (Sec)]]&lt;1200, "Mid", RawData[[#This Row],[Length (Sec)]]&gt;1199, "Long")</f>
        <v>Short</v>
      </c>
      <c r="R130" s="4" t="b">
        <f t="shared" ref="R130:R193" ca="1" si="9">IF(DATEDIF(C130,TODAY(),"d")&gt;365,FALSE, TRUE)</f>
        <v>0</v>
      </c>
      <c r="S130" s="4" t="b">
        <f t="shared" ref="S130:S193" si="10">IF(I130&lt;15000,FALSE, TRUE)</f>
        <v>1</v>
      </c>
      <c r="T130" s="4">
        <v>1</v>
      </c>
      <c r="U130" s="4">
        <v>1</v>
      </c>
      <c r="V130" s="4"/>
      <c r="W130" s="4">
        <v>1</v>
      </c>
      <c r="X130" s="4">
        <v>1</v>
      </c>
      <c r="Y130" s="4">
        <v>1</v>
      </c>
      <c r="Z130" s="4"/>
      <c r="AA130" s="4">
        <v>1</v>
      </c>
      <c r="AB130" s="4"/>
      <c r="AC130" s="4"/>
      <c r="AD130" s="4"/>
      <c r="AE130" s="4"/>
      <c r="AF130" s="4"/>
      <c r="AG130" s="4"/>
      <c r="AH130" s="4"/>
    </row>
    <row r="131" spans="1:34" ht="15" thickBot="1" x14ac:dyDescent="0.4">
      <c r="A131" s="1" t="s">
        <v>266</v>
      </c>
      <c r="B131" s="1" t="s">
        <v>19</v>
      </c>
      <c r="C131" s="10">
        <v>43768</v>
      </c>
      <c r="D131" s="14">
        <v>522980</v>
      </c>
      <c r="E131" s="18">
        <v>4.2249999999999996</v>
      </c>
      <c r="F131" s="14">
        <v>0</v>
      </c>
      <c r="G131" s="18">
        <v>1.859</v>
      </c>
      <c r="H131" s="18">
        <v>38.43</v>
      </c>
      <c r="I131" s="14">
        <v>827499</v>
      </c>
      <c r="J131" s="14">
        <v>59721.462500000001</v>
      </c>
      <c r="K131" s="2">
        <v>15586</v>
      </c>
      <c r="L131" s="18">
        <v>1535.421</v>
      </c>
      <c r="M131" s="14">
        <v>13933582</v>
      </c>
      <c r="N131" s="4">
        <v>4.1500000000000004</v>
      </c>
      <c r="O131" s="82">
        <v>7.8240740740740753E-3</v>
      </c>
      <c r="P131" s="86">
        <f t="shared" si="8"/>
        <v>676</v>
      </c>
      <c r="Q131" s="4" t="str" cm="1">
        <f t="array" ref="Q131">_xlfn.IFS(RawData[[#This Row],[Length (Sec)]]&lt;600, "Short", RawData[[#This Row],[Length (Sec)]]&lt;1200, "Mid", RawData[[#This Row],[Length (Sec)]]&gt;1199, "Long")</f>
        <v>Mid</v>
      </c>
      <c r="R131" s="4" t="b">
        <f t="shared" ca="1" si="9"/>
        <v>0</v>
      </c>
      <c r="S131" s="4" t="b">
        <f t="shared" si="10"/>
        <v>1</v>
      </c>
      <c r="T131" s="4"/>
      <c r="U131" s="4"/>
      <c r="V131" s="4"/>
      <c r="W131" s="4"/>
      <c r="X131" s="4"/>
      <c r="Y131" s="4">
        <v>1</v>
      </c>
      <c r="Z131" s="4"/>
      <c r="AA131" s="4"/>
      <c r="AB131" s="4">
        <v>1</v>
      </c>
      <c r="AC131" s="4"/>
      <c r="AD131" s="4"/>
      <c r="AE131" s="4"/>
      <c r="AF131" s="4"/>
      <c r="AG131" s="4"/>
      <c r="AH131" s="4"/>
    </row>
    <row r="132" spans="1:34" ht="15" thickBot="1" x14ac:dyDescent="0.4">
      <c r="A132" s="1" t="s">
        <v>288</v>
      </c>
      <c r="B132" s="1" t="s">
        <v>18</v>
      </c>
      <c r="C132" s="10">
        <v>43762</v>
      </c>
      <c r="D132" s="14">
        <v>188326</v>
      </c>
      <c r="E132" s="18">
        <v>3.7440000000000002</v>
      </c>
      <c r="F132" s="14">
        <v>0</v>
      </c>
      <c r="G132" s="18">
        <v>0.98199999999999998</v>
      </c>
      <c r="H132" s="18">
        <v>44.32</v>
      </c>
      <c r="I132" s="14">
        <v>475658</v>
      </c>
      <c r="J132" s="14">
        <v>21316.694800000001</v>
      </c>
      <c r="K132" s="2">
        <v>3628</v>
      </c>
      <c r="L132" s="18">
        <v>466.38</v>
      </c>
      <c r="M132" s="14">
        <v>6561300</v>
      </c>
      <c r="N132" s="4">
        <v>5.08</v>
      </c>
      <c r="O132" s="82">
        <v>4.2129629629629626E-3</v>
      </c>
      <c r="P132" s="86">
        <f t="shared" si="8"/>
        <v>364</v>
      </c>
      <c r="Q132" s="4" t="str" cm="1">
        <f t="array" ref="Q132">_xlfn.IFS(RawData[[#This Row],[Length (Sec)]]&lt;600, "Short", RawData[[#This Row],[Length (Sec)]]&lt;1200, "Mid", RawData[[#This Row],[Length (Sec)]]&gt;1199, "Long")</f>
        <v>Short</v>
      </c>
      <c r="R132" s="4" t="b">
        <f t="shared" ca="1" si="9"/>
        <v>0</v>
      </c>
      <c r="S132" s="4" t="b">
        <f t="shared" si="10"/>
        <v>1</v>
      </c>
      <c r="T132" s="4">
        <v>1</v>
      </c>
      <c r="U132" s="4"/>
      <c r="V132" s="4">
        <v>1</v>
      </c>
      <c r="W132" s="4"/>
      <c r="X132" s="4"/>
      <c r="Y132" s="4">
        <v>1</v>
      </c>
      <c r="Z132" s="4"/>
      <c r="AA132" s="4">
        <v>1</v>
      </c>
      <c r="AB132" s="4"/>
      <c r="AC132" s="4">
        <v>1</v>
      </c>
      <c r="AD132" s="4"/>
      <c r="AE132" s="4"/>
      <c r="AF132" s="4"/>
      <c r="AG132" s="4"/>
      <c r="AH132" s="4"/>
    </row>
    <row r="133" spans="1:34" ht="15" thickBot="1" x14ac:dyDescent="0.4">
      <c r="A133" s="1" t="s">
        <v>389</v>
      </c>
      <c r="B133" s="1" t="s">
        <v>37</v>
      </c>
      <c r="C133" s="10">
        <v>43757</v>
      </c>
      <c r="D133" s="14">
        <v>172555</v>
      </c>
      <c r="E133" s="18">
        <v>6.5609999999999999</v>
      </c>
      <c r="F133" s="14">
        <v>0</v>
      </c>
      <c r="G133" s="18">
        <v>1.7470000000000001</v>
      </c>
      <c r="H133" s="18">
        <v>28.24</v>
      </c>
      <c r="I133" s="14">
        <v>419375</v>
      </c>
      <c r="J133" s="14">
        <v>26644.9035</v>
      </c>
      <c r="K133" s="2">
        <v>5196</v>
      </c>
      <c r="L133" s="18">
        <v>731.202</v>
      </c>
      <c r="M133" s="14">
        <v>5149574</v>
      </c>
      <c r="N133" s="4">
        <v>5.14</v>
      </c>
      <c r="O133" s="82">
        <v>9.3749999999999997E-3</v>
      </c>
      <c r="P133" s="86">
        <f t="shared" si="8"/>
        <v>810</v>
      </c>
      <c r="Q133" s="4" t="str" cm="1">
        <f t="array" ref="Q133">_xlfn.IFS(RawData[[#This Row],[Length (Sec)]]&lt;600, "Short", RawData[[#This Row],[Length (Sec)]]&lt;1200, "Mid", RawData[[#This Row],[Length (Sec)]]&gt;1199, "Long")</f>
        <v>Mid</v>
      </c>
      <c r="R133" s="4" t="b">
        <f t="shared" ca="1" si="9"/>
        <v>0</v>
      </c>
      <c r="S133" s="4" t="b">
        <f t="shared" si="10"/>
        <v>1</v>
      </c>
      <c r="T133" s="4"/>
      <c r="U133" s="4"/>
      <c r="V133" s="4"/>
      <c r="W133" s="4"/>
      <c r="X133" s="4"/>
      <c r="Y133" s="4">
        <v>1</v>
      </c>
      <c r="Z133" s="4"/>
      <c r="AA133" s="4">
        <v>1</v>
      </c>
      <c r="AB133" s="4"/>
      <c r="AC133" s="4"/>
      <c r="AD133" s="4"/>
      <c r="AE133" s="4"/>
      <c r="AF133" s="4"/>
      <c r="AG133" s="4"/>
      <c r="AH133" s="4">
        <v>1</v>
      </c>
    </row>
    <row r="134" spans="1:34" ht="15" thickBot="1" x14ac:dyDescent="0.4">
      <c r="A134" s="1" t="s">
        <v>67</v>
      </c>
      <c r="B134" s="1" t="s">
        <v>37</v>
      </c>
      <c r="C134" s="10">
        <v>43752</v>
      </c>
      <c r="D134" s="14">
        <v>180828</v>
      </c>
      <c r="E134" s="18">
        <v>4.375</v>
      </c>
      <c r="F134" s="14">
        <v>8236</v>
      </c>
      <c r="G134" s="18">
        <v>1.341</v>
      </c>
      <c r="H134" s="18">
        <v>41.29</v>
      </c>
      <c r="I134" s="14">
        <v>384753</v>
      </c>
      <c r="J134" s="14">
        <v>19901.607599999999</v>
      </c>
      <c r="K134" s="2">
        <v>2836</v>
      </c>
      <c r="L134" s="18">
        <v>514.96199999999999</v>
      </c>
      <c r="M134" s="14">
        <v>5569395</v>
      </c>
      <c r="N134" s="4">
        <v>4.78</v>
      </c>
      <c r="O134" s="82">
        <v>5.2199074074074066E-3</v>
      </c>
      <c r="P134" s="86">
        <f t="shared" si="8"/>
        <v>451</v>
      </c>
      <c r="Q134" s="4" t="str" cm="1">
        <f t="array" ref="Q134">_xlfn.IFS(RawData[[#This Row],[Length (Sec)]]&lt;600, "Short", RawData[[#This Row],[Length (Sec)]]&lt;1200, "Mid", RawData[[#This Row],[Length (Sec)]]&gt;1199, "Long")</f>
        <v>Short</v>
      </c>
      <c r="R134" s="4" t="b">
        <f t="shared" ca="1" si="9"/>
        <v>0</v>
      </c>
      <c r="S134" s="4" t="b">
        <f t="shared" si="10"/>
        <v>1</v>
      </c>
      <c r="T134" s="4"/>
      <c r="U134" s="4"/>
      <c r="V134" s="4"/>
      <c r="W134" s="4"/>
      <c r="X134" s="4"/>
      <c r="Y134" s="4">
        <v>1</v>
      </c>
      <c r="Z134" s="4"/>
      <c r="AA134" s="4">
        <v>1</v>
      </c>
      <c r="AB134" s="4"/>
      <c r="AC134" s="4"/>
      <c r="AD134" s="4"/>
      <c r="AE134" s="4"/>
      <c r="AF134" s="4"/>
      <c r="AG134" s="4"/>
      <c r="AH134" s="4"/>
    </row>
    <row r="135" spans="1:34" ht="15" thickBot="1" x14ac:dyDescent="0.4">
      <c r="A135" s="1" t="s">
        <v>262</v>
      </c>
      <c r="B135" s="1" t="s">
        <v>19</v>
      </c>
      <c r="C135" s="10">
        <v>43747</v>
      </c>
      <c r="D135" s="14">
        <v>194730</v>
      </c>
      <c r="E135" s="18">
        <v>6.1079999999999997</v>
      </c>
      <c r="F135" s="14">
        <v>0</v>
      </c>
      <c r="G135" s="18">
        <v>1.6990000000000001</v>
      </c>
      <c r="H135" s="18">
        <v>30.93</v>
      </c>
      <c r="I135" s="14">
        <v>439907</v>
      </c>
      <c r="J135" s="14">
        <v>37414.873599999999</v>
      </c>
      <c r="K135" s="2">
        <v>7586</v>
      </c>
      <c r="L135" s="18">
        <v>746.572</v>
      </c>
      <c r="M135" s="14">
        <v>8119680</v>
      </c>
      <c r="N135" s="4">
        <v>3.47</v>
      </c>
      <c r="O135" s="82">
        <v>1.1458333333333334E-2</v>
      </c>
      <c r="P135" s="86">
        <f t="shared" si="8"/>
        <v>990</v>
      </c>
      <c r="Q135" s="4" t="str" cm="1">
        <f t="array" ref="Q135">_xlfn.IFS(RawData[[#This Row],[Length (Sec)]]&lt;600, "Short", RawData[[#This Row],[Length (Sec)]]&lt;1200, "Mid", RawData[[#This Row],[Length (Sec)]]&gt;1199, "Long")</f>
        <v>Mid</v>
      </c>
      <c r="R135" s="4" t="b">
        <f t="shared" ca="1" si="9"/>
        <v>0</v>
      </c>
      <c r="S135" s="4" t="b">
        <f t="shared" si="10"/>
        <v>1</v>
      </c>
      <c r="T135" s="4">
        <v>1</v>
      </c>
      <c r="U135" s="4"/>
      <c r="V135" s="4"/>
      <c r="W135" s="4"/>
      <c r="X135" s="4">
        <v>1</v>
      </c>
      <c r="Y135" s="4">
        <v>1</v>
      </c>
      <c r="Z135" s="4"/>
      <c r="AA135" s="4"/>
      <c r="AB135" s="4"/>
      <c r="AC135" s="4">
        <v>1</v>
      </c>
      <c r="AD135" s="4"/>
      <c r="AE135" s="4"/>
      <c r="AF135" s="4"/>
      <c r="AG135" s="4">
        <v>1</v>
      </c>
      <c r="AH135" s="4"/>
    </row>
    <row r="136" spans="1:34" ht="15" thickBot="1" x14ac:dyDescent="0.4">
      <c r="A136" s="1" t="s">
        <v>372</v>
      </c>
      <c r="B136" s="1" t="s">
        <v>37</v>
      </c>
      <c r="C136" s="10">
        <v>43739</v>
      </c>
      <c r="D136" s="14">
        <v>224956</v>
      </c>
      <c r="E136" s="18">
        <v>2.6160000000000001</v>
      </c>
      <c r="F136" s="14">
        <v>0</v>
      </c>
      <c r="G136" s="18">
        <v>0.88200000000000001</v>
      </c>
      <c r="H136" s="18">
        <v>23.58</v>
      </c>
      <c r="I136" s="14">
        <v>425475</v>
      </c>
      <c r="J136" s="14">
        <v>25165.176200000002</v>
      </c>
      <c r="K136" s="2">
        <v>4412</v>
      </c>
      <c r="L136" s="18">
        <v>374.86500000000001</v>
      </c>
      <c r="M136" s="14">
        <v>5526481</v>
      </c>
      <c r="N136" s="4">
        <v>5.67</v>
      </c>
      <c r="O136" s="82">
        <v>1.045138888888889E-2</v>
      </c>
      <c r="P136" s="86">
        <f t="shared" ref="P136:P167" si="11">60*MINUTE(O136) + SECOND(O136)</f>
        <v>903</v>
      </c>
      <c r="Q136" s="4" t="str" cm="1">
        <f t="array" ref="Q136">_xlfn.IFS(RawData[[#This Row],[Length (Sec)]]&lt;600, "Short", RawData[[#This Row],[Length (Sec)]]&lt;1200, "Mid", RawData[[#This Row],[Length (Sec)]]&gt;1199, "Long")</f>
        <v>Mid</v>
      </c>
      <c r="R136" s="4" t="b">
        <f t="shared" ca="1" si="9"/>
        <v>0</v>
      </c>
      <c r="S136" s="4" t="b">
        <f t="shared" si="10"/>
        <v>1</v>
      </c>
      <c r="T136" s="4">
        <v>1</v>
      </c>
      <c r="U136" s="4"/>
      <c r="V136" s="4"/>
      <c r="W136" s="4">
        <v>1</v>
      </c>
      <c r="X136" s="4"/>
      <c r="Y136" s="4">
        <v>1</v>
      </c>
      <c r="Z136" s="4"/>
      <c r="AA136" s="4">
        <v>1</v>
      </c>
      <c r="AB136" s="4"/>
      <c r="AC136" s="4"/>
      <c r="AD136" s="4"/>
      <c r="AE136" s="4"/>
      <c r="AF136" s="4"/>
      <c r="AG136" s="4"/>
      <c r="AH136" s="4"/>
    </row>
    <row r="137" spans="1:34" ht="15" thickBot="1" x14ac:dyDescent="0.4">
      <c r="A137" s="1" t="s">
        <v>179</v>
      </c>
      <c r="B137" s="1" t="s">
        <v>17</v>
      </c>
      <c r="C137" s="10">
        <v>43732</v>
      </c>
      <c r="D137" s="14">
        <v>7267</v>
      </c>
      <c r="E137" s="18">
        <v>4.8490000000000002</v>
      </c>
      <c r="F137" s="14">
        <v>238</v>
      </c>
      <c r="G137" s="18">
        <v>0.40100000000000002</v>
      </c>
      <c r="H137" s="18">
        <v>26.5</v>
      </c>
      <c r="I137" s="14">
        <v>58442</v>
      </c>
      <c r="J137" s="14">
        <v>3609.7609000000002</v>
      </c>
      <c r="K137" s="2">
        <v>138</v>
      </c>
      <c r="L137" s="18">
        <v>23.411999999999999</v>
      </c>
      <c r="M137" s="14">
        <v>1486698</v>
      </c>
      <c r="N137" s="4">
        <v>2.76</v>
      </c>
      <c r="O137" s="82">
        <v>9.7106481481481471E-3</v>
      </c>
      <c r="P137" s="86">
        <f t="shared" si="11"/>
        <v>839</v>
      </c>
      <c r="Q137" s="4" t="str" cm="1">
        <f t="array" ref="Q137">_xlfn.IFS(RawData[[#This Row],[Length (Sec)]]&lt;600, "Short", RawData[[#This Row],[Length (Sec)]]&lt;1200, "Mid", RawData[[#This Row],[Length (Sec)]]&gt;1199, "Long")</f>
        <v>Mid</v>
      </c>
      <c r="R137" s="4" t="b">
        <f t="shared" ca="1" si="9"/>
        <v>0</v>
      </c>
      <c r="S137" s="4" t="b">
        <f t="shared" si="10"/>
        <v>1</v>
      </c>
      <c r="T137" s="4">
        <v>1</v>
      </c>
      <c r="U137" s="4">
        <v>1</v>
      </c>
      <c r="V137" s="4"/>
      <c r="W137" s="4">
        <v>1</v>
      </c>
      <c r="X137" s="4">
        <v>1</v>
      </c>
      <c r="Y137" s="4">
        <v>1</v>
      </c>
      <c r="Z137" s="4"/>
      <c r="AA137" s="4"/>
      <c r="AB137" s="4"/>
      <c r="AC137" s="4"/>
      <c r="AD137" s="4"/>
      <c r="AE137" s="4"/>
      <c r="AF137" s="4"/>
      <c r="AG137" s="4"/>
      <c r="AH137" s="4"/>
    </row>
    <row r="138" spans="1:34" ht="15" thickBot="1" x14ac:dyDescent="0.4">
      <c r="A138" s="1" t="s">
        <v>306</v>
      </c>
      <c r="B138" s="1" t="s">
        <v>37</v>
      </c>
      <c r="C138" s="10">
        <v>43725</v>
      </c>
      <c r="D138" s="14">
        <v>374051</v>
      </c>
      <c r="E138" s="18">
        <v>5.048</v>
      </c>
      <c r="F138" s="14">
        <v>0</v>
      </c>
      <c r="G138" s="18">
        <v>1.579</v>
      </c>
      <c r="H138" s="18">
        <v>29.39</v>
      </c>
      <c r="I138" s="14">
        <v>788187</v>
      </c>
      <c r="J138" s="14">
        <v>63694.038099999998</v>
      </c>
      <c r="K138" s="2">
        <v>8512</v>
      </c>
      <c r="L138" s="18">
        <v>1243.058</v>
      </c>
      <c r="M138" s="14">
        <v>10892880</v>
      </c>
      <c r="N138" s="4">
        <v>4.7300000000000004</v>
      </c>
      <c r="O138" s="82">
        <v>1.1458333333333334E-2</v>
      </c>
      <c r="P138" s="86">
        <f t="shared" si="11"/>
        <v>990</v>
      </c>
      <c r="Q138" s="4" t="str" cm="1">
        <f t="array" ref="Q138">_xlfn.IFS(RawData[[#This Row],[Length (Sec)]]&lt;600, "Short", RawData[[#This Row],[Length (Sec)]]&lt;1200, "Mid", RawData[[#This Row],[Length (Sec)]]&gt;1199, "Long")</f>
        <v>Mid</v>
      </c>
      <c r="R138" s="4" t="b">
        <f t="shared" ca="1" si="9"/>
        <v>0</v>
      </c>
      <c r="S138" s="4" t="b">
        <f t="shared" si="10"/>
        <v>1</v>
      </c>
      <c r="T138" s="4"/>
      <c r="U138" s="4"/>
      <c r="V138" s="4"/>
      <c r="W138" s="4"/>
      <c r="X138" s="4"/>
      <c r="Y138" s="4">
        <v>1</v>
      </c>
      <c r="Z138" s="4"/>
      <c r="AA138" s="4">
        <v>1</v>
      </c>
      <c r="AB138" s="4"/>
      <c r="AC138" s="4"/>
      <c r="AD138" s="4"/>
      <c r="AE138" s="4"/>
      <c r="AF138" s="4"/>
      <c r="AG138" s="4"/>
      <c r="AH138" s="4">
        <v>1</v>
      </c>
    </row>
    <row r="139" spans="1:34" ht="15" thickBot="1" x14ac:dyDescent="0.4">
      <c r="A139" s="1" t="s">
        <v>55</v>
      </c>
      <c r="B139" s="1" t="s">
        <v>19</v>
      </c>
      <c r="C139" s="10">
        <v>43721</v>
      </c>
      <c r="D139" s="14">
        <v>846753</v>
      </c>
      <c r="E139" s="18">
        <v>4.2140000000000004</v>
      </c>
      <c r="F139" s="14">
        <v>16686</v>
      </c>
      <c r="G139" s="18">
        <v>1.2350000000000001</v>
      </c>
      <c r="H139" s="18">
        <v>33.479999999999997</v>
      </c>
      <c r="I139" s="14">
        <v>1982188</v>
      </c>
      <c r="J139" s="14">
        <v>99728.804499999998</v>
      </c>
      <c r="K139" s="2">
        <v>18422</v>
      </c>
      <c r="L139" s="18">
        <v>2444.9279999999999</v>
      </c>
      <c r="M139" s="14">
        <v>26984929</v>
      </c>
      <c r="N139" s="4">
        <v>4.5</v>
      </c>
      <c r="O139" s="82">
        <v>6.2615740740740748E-3</v>
      </c>
      <c r="P139" s="86">
        <f t="shared" si="11"/>
        <v>541</v>
      </c>
      <c r="Q139" s="4" t="str" cm="1">
        <f t="array" ref="Q139">_xlfn.IFS(RawData[[#This Row],[Length (Sec)]]&lt;600, "Short", RawData[[#This Row],[Length (Sec)]]&lt;1200, "Mid", RawData[[#This Row],[Length (Sec)]]&gt;1199, "Long")</f>
        <v>Short</v>
      </c>
      <c r="R139" s="4" t="b">
        <f t="shared" ca="1" si="9"/>
        <v>0</v>
      </c>
      <c r="S139" s="4" t="b">
        <f t="shared" si="10"/>
        <v>1</v>
      </c>
      <c r="T139" s="4"/>
      <c r="U139" s="4"/>
      <c r="V139" s="4"/>
      <c r="W139" s="4"/>
      <c r="X139" s="4"/>
      <c r="Y139" s="4"/>
      <c r="Z139" s="4"/>
      <c r="AA139" s="4">
        <v>1</v>
      </c>
      <c r="AB139" s="4"/>
      <c r="AC139" s="4"/>
      <c r="AD139" s="4"/>
      <c r="AE139" s="4"/>
      <c r="AF139" s="4"/>
      <c r="AG139" s="4"/>
      <c r="AH139" s="4"/>
    </row>
    <row r="140" spans="1:34" ht="15" thickBot="1" x14ac:dyDescent="0.4">
      <c r="A140" s="1" t="s">
        <v>133</v>
      </c>
      <c r="B140" s="1" t="s">
        <v>17</v>
      </c>
      <c r="C140" s="10">
        <v>43714</v>
      </c>
      <c r="D140" s="14">
        <v>125175</v>
      </c>
      <c r="E140" s="18">
        <v>3.61</v>
      </c>
      <c r="F140" s="14">
        <v>1045</v>
      </c>
      <c r="G140" s="18">
        <v>1.6359999999999999</v>
      </c>
      <c r="H140" s="18">
        <v>27.61</v>
      </c>
      <c r="I140" s="14">
        <v>185930</v>
      </c>
      <c r="J140" s="14">
        <v>19889.398300000001</v>
      </c>
      <c r="K140" s="2">
        <v>550</v>
      </c>
      <c r="L140" s="18">
        <v>303.97899999999998</v>
      </c>
      <c r="M140" s="14">
        <v>3716859</v>
      </c>
      <c r="N140" s="4">
        <v>3.43</v>
      </c>
      <c r="O140" s="82">
        <v>1.6145833333333335E-2</v>
      </c>
      <c r="P140" s="86">
        <f t="shared" si="11"/>
        <v>1395</v>
      </c>
      <c r="Q140" s="4" t="str" cm="1">
        <f t="array" ref="Q140">_xlfn.IFS(RawData[[#This Row],[Length (Sec)]]&lt;600, "Short", RawData[[#This Row],[Length (Sec)]]&lt;1200, "Mid", RawData[[#This Row],[Length (Sec)]]&gt;1199, "Long")</f>
        <v>Long</v>
      </c>
      <c r="R140" s="4" t="b">
        <f t="shared" ca="1" si="9"/>
        <v>0</v>
      </c>
      <c r="S140" s="4" t="b">
        <f t="shared" si="10"/>
        <v>1</v>
      </c>
      <c r="T140" s="4">
        <v>1</v>
      </c>
      <c r="U140" s="4">
        <v>1</v>
      </c>
      <c r="V140" s="4"/>
      <c r="W140" s="4"/>
      <c r="X140" s="4">
        <v>1</v>
      </c>
      <c r="Y140" s="4">
        <v>1</v>
      </c>
      <c r="Z140" s="4">
        <v>1</v>
      </c>
      <c r="AA140" s="4"/>
      <c r="AB140" s="4"/>
      <c r="AC140" s="4"/>
      <c r="AD140" s="4"/>
      <c r="AE140" s="4"/>
      <c r="AF140" s="4"/>
      <c r="AG140" s="4">
        <v>1</v>
      </c>
      <c r="AH140" s="4"/>
    </row>
    <row r="141" spans="1:34" ht="15" thickBot="1" x14ac:dyDescent="0.4">
      <c r="A141" s="1" t="s">
        <v>326</v>
      </c>
      <c r="B141" s="1" t="s">
        <v>37</v>
      </c>
      <c r="C141" s="10">
        <v>43708</v>
      </c>
      <c r="D141" s="14">
        <v>89025</v>
      </c>
      <c r="E141" s="18">
        <v>5.6459999999999999</v>
      </c>
      <c r="F141" s="14">
        <v>0</v>
      </c>
      <c r="G141" s="18">
        <v>2.1779999999999999</v>
      </c>
      <c r="H141" s="18">
        <v>52.82</v>
      </c>
      <c r="I141" s="14">
        <v>156783</v>
      </c>
      <c r="J141" s="14">
        <v>5543.991</v>
      </c>
      <c r="K141" s="2">
        <v>538</v>
      </c>
      <c r="L141" s="18">
        <v>341.15100000000001</v>
      </c>
      <c r="M141" s="14">
        <v>2292949</v>
      </c>
      <c r="N141" s="4">
        <v>4.88</v>
      </c>
      <c r="O141" s="82">
        <v>2.7893518518518519E-3</v>
      </c>
      <c r="P141" s="86">
        <f t="shared" si="11"/>
        <v>241</v>
      </c>
      <c r="Q141" s="4" t="str" cm="1">
        <f t="array" ref="Q141">_xlfn.IFS(RawData[[#This Row],[Length (Sec)]]&lt;600, "Short", RawData[[#This Row],[Length (Sec)]]&lt;1200, "Mid", RawData[[#This Row],[Length (Sec)]]&gt;1199, "Long")</f>
        <v>Short</v>
      </c>
      <c r="R141" s="4" t="b">
        <f t="shared" ca="1" si="9"/>
        <v>0</v>
      </c>
      <c r="S141" s="4" t="b">
        <f t="shared" si="10"/>
        <v>1</v>
      </c>
      <c r="T141" s="4">
        <v>1</v>
      </c>
      <c r="U141" s="4">
        <v>1</v>
      </c>
      <c r="V141" s="4"/>
      <c r="W141" s="4"/>
      <c r="X141" s="4">
        <v>1</v>
      </c>
      <c r="Y141" s="4">
        <v>1</v>
      </c>
      <c r="Z141" s="4"/>
      <c r="AA141" s="4">
        <v>1</v>
      </c>
      <c r="AB141" s="4"/>
      <c r="AC141" s="4"/>
      <c r="AD141" s="4"/>
      <c r="AE141" s="4"/>
      <c r="AF141" s="4"/>
      <c r="AG141" s="4"/>
      <c r="AH141" s="4"/>
    </row>
    <row r="142" spans="1:34" ht="15" thickBot="1" x14ac:dyDescent="0.4">
      <c r="A142" s="1" t="s">
        <v>91</v>
      </c>
      <c r="B142" s="1" t="s">
        <v>37</v>
      </c>
      <c r="C142" s="10">
        <v>43706</v>
      </c>
      <c r="D142" s="14">
        <v>106502</v>
      </c>
      <c r="E142" s="18">
        <v>3.802</v>
      </c>
      <c r="F142" s="14">
        <v>3169</v>
      </c>
      <c r="G142" s="18">
        <v>1.5389999999999999</v>
      </c>
      <c r="H142" s="18">
        <v>37.229999999999997</v>
      </c>
      <c r="I142" s="14">
        <v>171849</v>
      </c>
      <c r="J142" s="14">
        <v>11411.401400000001</v>
      </c>
      <c r="K142" s="2">
        <v>1783</v>
      </c>
      <c r="L142" s="18">
        <v>264.02300000000002</v>
      </c>
      <c r="M142" s="14">
        <v>3557791</v>
      </c>
      <c r="N142" s="4">
        <v>3.15</v>
      </c>
      <c r="O142" s="82">
        <v>7.4305555555555548E-3</v>
      </c>
      <c r="P142" s="86">
        <f t="shared" si="11"/>
        <v>642</v>
      </c>
      <c r="Q142" s="4" t="str" cm="1">
        <f t="array" ref="Q142">_xlfn.IFS(RawData[[#This Row],[Length (Sec)]]&lt;600, "Short", RawData[[#This Row],[Length (Sec)]]&lt;1200, "Mid", RawData[[#This Row],[Length (Sec)]]&gt;1199, "Long")</f>
        <v>Mid</v>
      </c>
      <c r="R142" s="4" t="b">
        <f t="shared" ca="1" si="9"/>
        <v>0</v>
      </c>
      <c r="S142" s="4" t="b">
        <f t="shared" si="10"/>
        <v>1</v>
      </c>
      <c r="T142" s="4"/>
      <c r="U142" s="4"/>
      <c r="V142" s="4"/>
      <c r="W142" s="4"/>
      <c r="X142" s="4"/>
      <c r="Y142" s="4">
        <v>1</v>
      </c>
      <c r="Z142" s="4"/>
      <c r="AA142" s="4">
        <v>1</v>
      </c>
      <c r="AB142" s="4"/>
      <c r="AC142" s="4"/>
      <c r="AD142" s="4"/>
      <c r="AE142" s="4"/>
      <c r="AF142" s="4"/>
      <c r="AG142" s="4"/>
      <c r="AH142" s="4"/>
    </row>
    <row r="143" spans="1:34" ht="15" thickBot="1" x14ac:dyDescent="0.4">
      <c r="A143" s="1" t="s">
        <v>235</v>
      </c>
      <c r="B143" s="1" t="s">
        <v>37</v>
      </c>
      <c r="C143" s="10">
        <v>43700</v>
      </c>
      <c r="D143" s="14">
        <v>78154</v>
      </c>
      <c r="E143" s="18">
        <v>5.7370000000000001</v>
      </c>
      <c r="F143" s="14">
        <v>0</v>
      </c>
      <c r="G143" s="18">
        <v>1.528</v>
      </c>
      <c r="H143" s="18">
        <v>53.61</v>
      </c>
      <c r="I143" s="14">
        <v>180917</v>
      </c>
      <c r="J143" s="14">
        <v>4661.2129000000004</v>
      </c>
      <c r="K143" s="2">
        <v>584</v>
      </c>
      <c r="L143" s="18">
        <v>276.29300000000001</v>
      </c>
      <c r="M143" s="14">
        <v>1914026</v>
      </c>
      <c r="N143" s="4">
        <v>6.17</v>
      </c>
      <c r="O143" s="82">
        <v>2.0023148148148148E-3</v>
      </c>
      <c r="P143" s="86">
        <f t="shared" si="11"/>
        <v>173</v>
      </c>
      <c r="Q143" s="4" t="str" cm="1">
        <f t="array" ref="Q143">_xlfn.IFS(RawData[[#This Row],[Length (Sec)]]&lt;600, "Short", RawData[[#This Row],[Length (Sec)]]&lt;1200, "Mid", RawData[[#This Row],[Length (Sec)]]&gt;1199, "Long")</f>
        <v>Short</v>
      </c>
      <c r="R143" s="4" t="b">
        <f t="shared" ca="1" si="9"/>
        <v>0</v>
      </c>
      <c r="S143" s="4" t="b">
        <f t="shared" si="10"/>
        <v>1</v>
      </c>
      <c r="T143" s="4">
        <v>1</v>
      </c>
      <c r="U143" s="4"/>
      <c r="V143" s="4"/>
      <c r="W143" s="4">
        <v>1</v>
      </c>
      <c r="X143" s="4">
        <v>1</v>
      </c>
      <c r="Y143" s="4">
        <v>1</v>
      </c>
      <c r="Z143" s="4"/>
      <c r="AA143" s="4">
        <v>1</v>
      </c>
      <c r="AB143" s="4"/>
      <c r="AC143" s="4">
        <v>1</v>
      </c>
      <c r="AD143" s="4"/>
      <c r="AE143" s="4"/>
      <c r="AF143" s="4"/>
      <c r="AG143" s="4"/>
      <c r="AH143" s="4"/>
    </row>
    <row r="144" spans="1:34" ht="15" thickBot="1" x14ac:dyDescent="0.4">
      <c r="A144" s="1" t="s">
        <v>249</v>
      </c>
      <c r="B144" s="1" t="s">
        <v>17</v>
      </c>
      <c r="C144" s="10">
        <v>43693</v>
      </c>
      <c r="D144" s="14">
        <v>553906</v>
      </c>
      <c r="E144" s="18">
        <v>4.2910000000000004</v>
      </c>
      <c r="F144" s="14">
        <v>0</v>
      </c>
      <c r="G144" s="18">
        <v>2.37</v>
      </c>
      <c r="H144" s="18">
        <v>32.89</v>
      </c>
      <c r="I144" s="14">
        <v>733448</v>
      </c>
      <c r="J144" s="14">
        <v>91525.036300000007</v>
      </c>
      <c r="K144" s="2">
        <v>8569</v>
      </c>
      <c r="L144" s="18">
        <v>1736.655</v>
      </c>
      <c r="M144" s="14">
        <v>26590552</v>
      </c>
      <c r="N144" s="4">
        <v>1.95</v>
      </c>
      <c r="O144" s="82">
        <v>1.5810185185185184E-2</v>
      </c>
      <c r="P144" s="86">
        <f t="shared" si="11"/>
        <v>1366</v>
      </c>
      <c r="Q144" s="4" t="str" cm="1">
        <f t="array" ref="Q144">_xlfn.IFS(RawData[[#This Row],[Length (Sec)]]&lt;600, "Short", RawData[[#This Row],[Length (Sec)]]&lt;1200, "Mid", RawData[[#This Row],[Length (Sec)]]&gt;1199, "Long")</f>
        <v>Long</v>
      </c>
      <c r="R144" s="4" t="b">
        <f t="shared" ca="1" si="9"/>
        <v>0</v>
      </c>
      <c r="S144" s="4" t="b">
        <f t="shared" si="10"/>
        <v>1</v>
      </c>
      <c r="T144" s="4">
        <v>1</v>
      </c>
      <c r="U144" s="4"/>
      <c r="V144" s="4"/>
      <c r="W144" s="4"/>
      <c r="X144" s="4">
        <v>1</v>
      </c>
      <c r="Y144" s="4">
        <v>1</v>
      </c>
      <c r="Z144" s="4"/>
      <c r="AA144" s="4"/>
      <c r="AB144" s="4"/>
      <c r="AC144" s="4">
        <v>1</v>
      </c>
      <c r="AD144" s="4"/>
      <c r="AE144" s="4"/>
      <c r="AF144" s="4"/>
      <c r="AG144" s="4">
        <v>1</v>
      </c>
      <c r="AH144" s="4"/>
    </row>
    <row r="145" spans="1:34" ht="15" thickBot="1" x14ac:dyDescent="0.4">
      <c r="A145" s="1" t="s">
        <v>150</v>
      </c>
      <c r="B145" s="1" t="s">
        <v>17</v>
      </c>
      <c r="C145" s="10">
        <v>43683</v>
      </c>
      <c r="D145" s="14">
        <v>44181</v>
      </c>
      <c r="E145" s="18">
        <v>3.9630000000000001</v>
      </c>
      <c r="F145" s="14">
        <v>554</v>
      </c>
      <c r="G145" s="18">
        <v>1.663</v>
      </c>
      <c r="H145" s="18">
        <v>30.77</v>
      </c>
      <c r="I145" s="14">
        <v>67897</v>
      </c>
      <c r="J145" s="14">
        <v>3969.2212</v>
      </c>
      <c r="K145" s="2">
        <v>203</v>
      </c>
      <c r="L145" s="18">
        <v>112.91</v>
      </c>
      <c r="M145" s="14">
        <v>1618102</v>
      </c>
      <c r="N145" s="4">
        <v>3.03</v>
      </c>
      <c r="O145" s="82">
        <v>7.9166666666666673E-3</v>
      </c>
      <c r="P145" s="86">
        <f t="shared" si="11"/>
        <v>684</v>
      </c>
      <c r="Q145" s="4" t="str" cm="1">
        <f t="array" ref="Q145">_xlfn.IFS(RawData[[#This Row],[Length (Sec)]]&lt;600, "Short", RawData[[#This Row],[Length (Sec)]]&lt;1200, "Mid", RawData[[#This Row],[Length (Sec)]]&gt;1199, "Long")</f>
        <v>Mid</v>
      </c>
      <c r="R145" s="4" t="b">
        <f t="shared" ca="1" si="9"/>
        <v>0</v>
      </c>
      <c r="S145" s="4" t="b">
        <f t="shared" si="10"/>
        <v>1</v>
      </c>
      <c r="T145" s="4">
        <v>1</v>
      </c>
      <c r="U145" s="4"/>
      <c r="V145" s="4"/>
      <c r="W145" s="4">
        <v>1</v>
      </c>
      <c r="X145" s="4"/>
      <c r="Y145" s="4">
        <v>1</v>
      </c>
      <c r="Z145" s="4"/>
      <c r="AA145" s="4"/>
      <c r="AB145" s="4"/>
      <c r="AC145" s="4">
        <v>1</v>
      </c>
      <c r="AD145" s="4"/>
      <c r="AE145" s="4"/>
      <c r="AF145" s="4"/>
      <c r="AG145" s="4"/>
      <c r="AH145" s="4"/>
    </row>
    <row r="146" spans="1:34" ht="15" thickBot="1" x14ac:dyDescent="0.4">
      <c r="A146" s="1" t="s">
        <v>265</v>
      </c>
      <c r="B146" s="1" t="s">
        <v>17</v>
      </c>
      <c r="C146" s="10">
        <v>43679</v>
      </c>
      <c r="D146" s="14">
        <v>51441</v>
      </c>
      <c r="E146" s="18">
        <v>3.9079999999999999</v>
      </c>
      <c r="F146" s="14">
        <v>0</v>
      </c>
      <c r="G146" s="18">
        <v>1.7350000000000001</v>
      </c>
      <c r="H146" s="18">
        <v>26.34</v>
      </c>
      <c r="I146" s="14">
        <v>78564</v>
      </c>
      <c r="J146" s="14">
        <v>7352.9332000000004</v>
      </c>
      <c r="K146" s="2">
        <v>391</v>
      </c>
      <c r="L146" s="18">
        <v>136.22399999999999</v>
      </c>
      <c r="M146" s="14">
        <v>2226245</v>
      </c>
      <c r="N146" s="4">
        <v>2.5299999999999998</v>
      </c>
      <c r="O146" s="82">
        <v>1.480324074074074E-2</v>
      </c>
      <c r="P146" s="86">
        <f t="shared" si="11"/>
        <v>1279</v>
      </c>
      <c r="Q146" s="4" t="str" cm="1">
        <f t="array" ref="Q146">_xlfn.IFS(RawData[[#This Row],[Length (Sec)]]&lt;600, "Short", RawData[[#This Row],[Length (Sec)]]&lt;1200, "Mid", RawData[[#This Row],[Length (Sec)]]&gt;1199, "Long")</f>
        <v>Long</v>
      </c>
      <c r="R146" s="4" t="b">
        <f t="shared" ca="1" si="9"/>
        <v>0</v>
      </c>
      <c r="S146" s="4" t="b">
        <f t="shared" si="10"/>
        <v>1</v>
      </c>
      <c r="T146" s="4">
        <v>1</v>
      </c>
      <c r="U146" s="4"/>
      <c r="V146" s="4"/>
      <c r="W146" s="4"/>
      <c r="X146" s="4"/>
      <c r="Y146" s="4">
        <v>1</v>
      </c>
      <c r="Z146" s="4"/>
      <c r="AA146" s="4"/>
      <c r="AB146" s="4"/>
      <c r="AC146" s="4">
        <v>1</v>
      </c>
      <c r="AD146" s="4"/>
      <c r="AE146" s="4"/>
      <c r="AF146" s="4"/>
      <c r="AG146" s="4"/>
      <c r="AH146" s="4"/>
    </row>
    <row r="147" spans="1:34" ht="15" thickBot="1" x14ac:dyDescent="0.4">
      <c r="A147" s="1" t="s">
        <v>253</v>
      </c>
      <c r="B147" s="1" t="s">
        <v>19</v>
      </c>
      <c r="C147" s="10">
        <v>43672</v>
      </c>
      <c r="D147" s="14">
        <v>787001</v>
      </c>
      <c r="E147" s="18">
        <v>4.4349999999999996</v>
      </c>
      <c r="F147" s="14">
        <v>0</v>
      </c>
      <c r="G147" s="18">
        <v>2.29</v>
      </c>
      <c r="H147" s="18">
        <v>40.840000000000003</v>
      </c>
      <c r="I147" s="14">
        <v>975880</v>
      </c>
      <c r="J147" s="14">
        <v>91548.979000000007</v>
      </c>
      <c r="K147" s="2">
        <v>23328</v>
      </c>
      <c r="L147" s="18">
        <v>2231.0169999999998</v>
      </c>
      <c r="M147" s="14">
        <v>24297522</v>
      </c>
      <c r="N147" s="4">
        <v>2.64</v>
      </c>
      <c r="O147" s="82">
        <v>9.571759259259259E-3</v>
      </c>
      <c r="P147" s="86">
        <f t="shared" si="11"/>
        <v>827</v>
      </c>
      <c r="Q147" s="4" t="str" cm="1">
        <f t="array" ref="Q147">_xlfn.IFS(RawData[[#This Row],[Length (Sec)]]&lt;600, "Short", RawData[[#This Row],[Length (Sec)]]&lt;1200, "Mid", RawData[[#This Row],[Length (Sec)]]&gt;1199, "Long")</f>
        <v>Mid</v>
      </c>
      <c r="R147" s="4" t="b">
        <f t="shared" ca="1" si="9"/>
        <v>0</v>
      </c>
      <c r="S147" s="4" t="b">
        <f t="shared" si="10"/>
        <v>1</v>
      </c>
      <c r="T147" s="4">
        <v>1</v>
      </c>
      <c r="U147" s="4"/>
      <c r="V147" s="4"/>
      <c r="W147" s="4"/>
      <c r="X147" s="4">
        <v>1</v>
      </c>
      <c r="Y147" s="4">
        <v>1</v>
      </c>
      <c r="Z147" s="4"/>
      <c r="AA147" s="4">
        <v>1</v>
      </c>
      <c r="AB147" s="4"/>
      <c r="AC147" s="4">
        <v>1</v>
      </c>
      <c r="AD147" s="4"/>
      <c r="AE147" s="4"/>
      <c r="AF147" s="4"/>
      <c r="AG147" s="4">
        <v>1</v>
      </c>
      <c r="AH147" s="4"/>
    </row>
    <row r="148" spans="1:34" ht="15" thickBot="1" x14ac:dyDescent="0.4">
      <c r="A148" s="1" t="s">
        <v>418</v>
      </c>
      <c r="B148" s="1" t="s">
        <v>37</v>
      </c>
      <c r="C148" s="10">
        <v>43669</v>
      </c>
      <c r="D148" s="14">
        <v>94957</v>
      </c>
      <c r="E148" s="18">
        <v>5.1639999999999997</v>
      </c>
      <c r="F148" s="14">
        <v>0</v>
      </c>
      <c r="G148" s="18">
        <v>2.0609999999999999</v>
      </c>
      <c r="H148" s="18">
        <v>45.91</v>
      </c>
      <c r="I148" s="14">
        <v>162305</v>
      </c>
      <c r="J148" s="14">
        <v>7907.0343000000003</v>
      </c>
      <c r="K148" s="2">
        <v>886</v>
      </c>
      <c r="L148" s="18">
        <v>334.44299999999998</v>
      </c>
      <c r="M148" s="14">
        <v>2218313</v>
      </c>
      <c r="N148" s="4">
        <v>4.92</v>
      </c>
      <c r="O148" s="82">
        <v>4.4212962962962956E-3</v>
      </c>
      <c r="P148" s="86">
        <f t="shared" si="11"/>
        <v>382</v>
      </c>
      <c r="Q148" s="4" t="str" cm="1">
        <f t="array" ref="Q148">_xlfn.IFS(RawData[[#This Row],[Length (Sec)]]&lt;600, "Short", RawData[[#This Row],[Length (Sec)]]&lt;1200, "Mid", RawData[[#This Row],[Length (Sec)]]&gt;1199, "Long")</f>
        <v>Short</v>
      </c>
      <c r="R148" s="4" t="b">
        <f t="shared" ca="1" si="9"/>
        <v>0</v>
      </c>
      <c r="S148" s="4" t="b">
        <f t="shared" si="10"/>
        <v>1</v>
      </c>
      <c r="T148" s="4"/>
      <c r="U148" s="4"/>
      <c r="V148" s="4"/>
      <c r="W148" s="4"/>
      <c r="X148" s="4"/>
      <c r="Y148" s="4">
        <v>1</v>
      </c>
      <c r="Z148" s="4"/>
      <c r="AA148" s="4">
        <v>1</v>
      </c>
      <c r="AB148" s="4"/>
      <c r="AC148" s="4"/>
      <c r="AD148" s="4"/>
      <c r="AE148" s="4"/>
      <c r="AF148" s="4"/>
      <c r="AG148" s="4"/>
      <c r="AH148" s="4">
        <v>1</v>
      </c>
    </row>
    <row r="149" spans="1:34" ht="15" thickBot="1" x14ac:dyDescent="0.4">
      <c r="A149" s="1" t="s">
        <v>319</v>
      </c>
      <c r="B149" s="1" t="s">
        <v>37</v>
      </c>
      <c r="C149" s="10">
        <v>43656</v>
      </c>
      <c r="D149" s="14">
        <v>298841</v>
      </c>
      <c r="E149" s="18">
        <v>4.601</v>
      </c>
      <c r="F149" s="14">
        <v>0</v>
      </c>
      <c r="G149" s="18">
        <v>2.0339999999999998</v>
      </c>
      <c r="H149" s="18">
        <v>54.95</v>
      </c>
      <c r="I149" s="14">
        <v>440046</v>
      </c>
      <c r="J149" s="14">
        <v>13434.3729</v>
      </c>
      <c r="K149" s="2">
        <v>3487</v>
      </c>
      <c r="L149" s="18">
        <v>893.36699999999996</v>
      </c>
      <c r="M149" s="14">
        <v>6259140</v>
      </c>
      <c r="N149" s="4">
        <v>5.18</v>
      </c>
      <c r="O149" s="82">
        <v>2.3148148148148151E-3</v>
      </c>
      <c r="P149" s="86">
        <f t="shared" si="11"/>
        <v>200</v>
      </c>
      <c r="Q149" s="4" t="str" cm="1">
        <f t="array" ref="Q149">_xlfn.IFS(RawData[[#This Row],[Length (Sec)]]&lt;600, "Short", RawData[[#This Row],[Length (Sec)]]&lt;1200, "Mid", RawData[[#This Row],[Length (Sec)]]&gt;1199, "Long")</f>
        <v>Short</v>
      </c>
      <c r="R149" s="4" t="b">
        <f t="shared" ca="1" si="9"/>
        <v>0</v>
      </c>
      <c r="S149" s="4" t="b">
        <f t="shared" si="10"/>
        <v>1</v>
      </c>
      <c r="T149" s="4">
        <v>1</v>
      </c>
      <c r="U149" s="4"/>
      <c r="V149" s="4"/>
      <c r="W149" s="4">
        <v>1</v>
      </c>
      <c r="X149" s="4">
        <v>1</v>
      </c>
      <c r="Y149" s="4">
        <v>1</v>
      </c>
      <c r="Z149" s="4"/>
      <c r="AA149" s="4">
        <v>1</v>
      </c>
      <c r="AB149" s="4"/>
      <c r="AC149" s="4">
        <v>1</v>
      </c>
      <c r="AD149" s="4"/>
      <c r="AE149" s="4"/>
      <c r="AF149" s="4"/>
      <c r="AG149" s="4"/>
      <c r="AH149" s="4"/>
    </row>
    <row r="150" spans="1:34" ht="15" thickBot="1" x14ac:dyDescent="0.4">
      <c r="A150" s="1" t="s">
        <v>299</v>
      </c>
      <c r="B150" s="45"/>
      <c r="C150" s="10">
        <v>43651</v>
      </c>
      <c r="D150" s="14">
        <v>38519</v>
      </c>
      <c r="E150" s="18">
        <v>6.734</v>
      </c>
      <c r="F150" s="14">
        <v>0</v>
      </c>
      <c r="G150" s="18">
        <v>3.1120000000000001</v>
      </c>
      <c r="H150" s="18">
        <v>31.12</v>
      </c>
      <c r="I150" s="14">
        <v>54066</v>
      </c>
      <c r="J150" s="14">
        <v>3809.3897000000002</v>
      </c>
      <c r="K150" s="2">
        <v>154</v>
      </c>
      <c r="L150" s="18">
        <v>168.16399999999999</v>
      </c>
      <c r="M150" s="14">
        <v>1460530</v>
      </c>
      <c r="N150" s="4">
        <v>2.57</v>
      </c>
      <c r="O150" s="82">
        <v>9.432870370370371E-3</v>
      </c>
      <c r="P150" s="86">
        <f t="shared" si="11"/>
        <v>815</v>
      </c>
      <c r="Q150" s="4" t="str" cm="1">
        <f t="array" ref="Q150">_xlfn.IFS(RawData[[#This Row],[Length (Sec)]]&lt;600, "Short", RawData[[#This Row],[Length (Sec)]]&lt;1200, "Mid", RawData[[#This Row],[Length (Sec)]]&gt;1199, "Long")</f>
        <v>Mid</v>
      </c>
      <c r="R150" s="4" t="b">
        <f t="shared" ca="1" si="9"/>
        <v>0</v>
      </c>
      <c r="S150" s="4" t="b">
        <f t="shared" si="10"/>
        <v>1</v>
      </c>
      <c r="T150" s="4">
        <v>1</v>
      </c>
      <c r="U150" s="4"/>
      <c r="V150" s="4"/>
      <c r="W150" s="4">
        <v>1</v>
      </c>
      <c r="X150" s="4">
        <v>1</v>
      </c>
      <c r="Y150" s="4">
        <v>1</v>
      </c>
      <c r="Z150" s="4"/>
      <c r="AA150" s="4"/>
      <c r="AB150" s="4"/>
      <c r="AC150" s="4">
        <v>1</v>
      </c>
      <c r="AD150" s="4"/>
      <c r="AE150" s="4"/>
      <c r="AF150" s="4"/>
      <c r="AG150" s="4"/>
      <c r="AH150" s="4"/>
    </row>
    <row r="151" spans="1:34" ht="15" thickBot="1" x14ac:dyDescent="0.4">
      <c r="A151" s="1" t="s">
        <v>440</v>
      </c>
      <c r="B151" s="1" t="s">
        <v>17</v>
      </c>
      <c r="C151" s="10">
        <v>43648</v>
      </c>
      <c r="D151" s="14">
        <v>44062</v>
      </c>
      <c r="E151" s="18">
        <v>4.0720000000000001</v>
      </c>
      <c r="F151" s="14">
        <v>0</v>
      </c>
      <c r="G151" s="18">
        <v>1.5740000000000001</v>
      </c>
      <c r="H151" s="18">
        <v>29.3</v>
      </c>
      <c r="I151" s="14">
        <v>73238</v>
      </c>
      <c r="J151" s="14">
        <v>4214.7434999999996</v>
      </c>
      <c r="K151" s="2">
        <v>354</v>
      </c>
      <c r="L151" s="18">
        <v>115.233</v>
      </c>
      <c r="M151" s="14">
        <v>1448684</v>
      </c>
      <c r="N151" s="4">
        <v>3.56</v>
      </c>
      <c r="O151" s="82">
        <v>8.1828703703703699E-3</v>
      </c>
      <c r="P151" s="86">
        <f t="shared" si="11"/>
        <v>707</v>
      </c>
      <c r="Q151" s="4" t="str" cm="1">
        <f t="array" ref="Q151">_xlfn.IFS(RawData[[#This Row],[Length (Sec)]]&lt;600, "Short", RawData[[#This Row],[Length (Sec)]]&lt;1200, "Mid", RawData[[#This Row],[Length (Sec)]]&gt;1199, "Long")</f>
        <v>Mid</v>
      </c>
      <c r="R151" s="4" t="b">
        <f t="shared" ca="1" si="9"/>
        <v>0</v>
      </c>
      <c r="S151" s="4" t="b">
        <f t="shared" si="10"/>
        <v>1</v>
      </c>
      <c r="T151" s="4">
        <v>1</v>
      </c>
      <c r="U151" s="4"/>
      <c r="V151" s="4"/>
      <c r="W151" s="4">
        <v>1</v>
      </c>
      <c r="X151" s="4">
        <v>1</v>
      </c>
      <c r="Y151" s="4">
        <v>1</v>
      </c>
      <c r="Z151" s="4"/>
      <c r="AA151" s="4"/>
      <c r="AB151" s="4"/>
      <c r="AC151" s="4">
        <v>1</v>
      </c>
      <c r="AD151" s="4"/>
      <c r="AE151" s="4"/>
      <c r="AF151" s="4"/>
      <c r="AG151" s="4"/>
      <c r="AH151" s="4"/>
    </row>
    <row r="152" spans="1:34" ht="15" thickBot="1" x14ac:dyDescent="0.4">
      <c r="A152" s="1" t="s">
        <v>129</v>
      </c>
      <c r="B152" s="1" t="s">
        <v>37</v>
      </c>
      <c r="C152" s="10">
        <v>43645</v>
      </c>
      <c r="D152" s="14">
        <v>41907</v>
      </c>
      <c r="E152" s="18">
        <v>5.3159999999999998</v>
      </c>
      <c r="F152" s="14">
        <v>1229</v>
      </c>
      <c r="G152" s="18">
        <v>2.06</v>
      </c>
      <c r="H152" s="18">
        <v>42.63</v>
      </c>
      <c r="I152" s="14">
        <v>72725</v>
      </c>
      <c r="J152" s="14">
        <v>4701.7485999999999</v>
      </c>
      <c r="K152" s="2">
        <v>305</v>
      </c>
      <c r="L152" s="18">
        <v>149.66300000000001</v>
      </c>
      <c r="M152" s="14">
        <v>1585454</v>
      </c>
      <c r="N152" s="4">
        <v>3.18</v>
      </c>
      <c r="O152" s="82">
        <v>6.3194444444444444E-3</v>
      </c>
      <c r="P152" s="86">
        <f t="shared" si="11"/>
        <v>546</v>
      </c>
      <c r="Q152" s="4" t="str" cm="1">
        <f t="array" ref="Q152">_xlfn.IFS(RawData[[#This Row],[Length (Sec)]]&lt;600, "Short", RawData[[#This Row],[Length (Sec)]]&lt;1200, "Mid", RawData[[#This Row],[Length (Sec)]]&gt;1199, "Long")</f>
        <v>Short</v>
      </c>
      <c r="R152" s="4" t="b">
        <f t="shared" ca="1" si="9"/>
        <v>0</v>
      </c>
      <c r="S152" s="4" t="b">
        <f t="shared" si="10"/>
        <v>1</v>
      </c>
      <c r="T152" s="4"/>
      <c r="U152" s="4"/>
      <c r="V152" s="4"/>
      <c r="W152" s="4"/>
      <c r="X152" s="4"/>
      <c r="Y152" s="4">
        <v>1</v>
      </c>
      <c r="Z152" s="4"/>
      <c r="AA152" s="4">
        <v>1</v>
      </c>
      <c r="AB152" s="4"/>
      <c r="AC152" s="4"/>
      <c r="AD152" s="4"/>
      <c r="AE152" s="4"/>
      <c r="AF152" s="4"/>
      <c r="AG152" s="4"/>
      <c r="AH152" s="4"/>
    </row>
    <row r="153" spans="1:34" ht="15" thickBot="1" x14ac:dyDescent="0.4">
      <c r="A153" s="1" t="s">
        <v>74</v>
      </c>
      <c r="B153" s="1" t="s">
        <v>37</v>
      </c>
      <c r="C153" s="10">
        <v>43642</v>
      </c>
      <c r="D153" s="14">
        <v>145626</v>
      </c>
      <c r="E153" s="18">
        <v>4.3689999999999998</v>
      </c>
      <c r="F153" s="14">
        <v>5186</v>
      </c>
      <c r="G153" s="18">
        <v>1.7529999999999999</v>
      </c>
      <c r="H153" s="18">
        <v>38.17</v>
      </c>
      <c r="I153" s="14">
        <v>242689</v>
      </c>
      <c r="J153" s="14">
        <v>14023.614600000001</v>
      </c>
      <c r="K153" s="2">
        <v>1423</v>
      </c>
      <c r="L153" s="18">
        <v>425.26799999999997</v>
      </c>
      <c r="M153" s="14">
        <v>2985645</v>
      </c>
      <c r="N153" s="4">
        <v>5.73</v>
      </c>
      <c r="O153" s="82">
        <v>6.3078703703703708E-3</v>
      </c>
      <c r="P153" s="86">
        <f t="shared" si="11"/>
        <v>545</v>
      </c>
      <c r="Q153" s="4" t="str" cm="1">
        <f t="array" ref="Q153">_xlfn.IFS(RawData[[#This Row],[Length (Sec)]]&lt;600, "Short", RawData[[#This Row],[Length (Sec)]]&lt;1200, "Mid", RawData[[#This Row],[Length (Sec)]]&gt;1199, "Long")</f>
        <v>Short</v>
      </c>
      <c r="R153" s="4" t="b">
        <f t="shared" ca="1" si="9"/>
        <v>0</v>
      </c>
      <c r="S153" s="4" t="b">
        <f t="shared" si="10"/>
        <v>1</v>
      </c>
      <c r="T153" s="4"/>
      <c r="U153" s="4"/>
      <c r="V153" s="4">
        <v>1</v>
      </c>
      <c r="W153" s="4"/>
      <c r="X153" s="4"/>
      <c r="Y153" s="4">
        <v>1</v>
      </c>
      <c r="Z153" s="4"/>
      <c r="AA153" s="4">
        <v>1</v>
      </c>
      <c r="AB153" s="4"/>
      <c r="AC153" s="4"/>
      <c r="AD153" s="4"/>
      <c r="AE153" s="4"/>
      <c r="AF153" s="4"/>
      <c r="AG153" s="4"/>
      <c r="AH153" s="4"/>
    </row>
    <row r="154" spans="1:34" ht="15" thickBot="1" x14ac:dyDescent="0.4">
      <c r="A154" s="1" t="s">
        <v>380</v>
      </c>
      <c r="B154" s="1" t="s">
        <v>36</v>
      </c>
      <c r="C154" s="10">
        <v>43636</v>
      </c>
      <c r="D154" s="14">
        <v>14884</v>
      </c>
      <c r="E154" s="18">
        <v>3.2869999999999999</v>
      </c>
      <c r="F154" s="14">
        <v>0</v>
      </c>
      <c r="G154" s="18">
        <v>0.51200000000000001</v>
      </c>
      <c r="H154" s="18">
        <v>17.03</v>
      </c>
      <c r="I154" s="14">
        <v>60321</v>
      </c>
      <c r="J154" s="14">
        <v>2839.4533999999999</v>
      </c>
      <c r="K154" s="2">
        <v>369</v>
      </c>
      <c r="L154" s="18">
        <v>30.885000000000002</v>
      </c>
      <c r="M154" s="14">
        <v>1233424</v>
      </c>
      <c r="N154" s="4">
        <v>2.5</v>
      </c>
      <c r="O154" s="82">
        <v>1.1516203703703702E-2</v>
      </c>
      <c r="P154" s="86">
        <f t="shared" si="11"/>
        <v>995</v>
      </c>
      <c r="Q154" s="4" t="str" cm="1">
        <f t="array" ref="Q154">_xlfn.IFS(RawData[[#This Row],[Length (Sec)]]&lt;600, "Short", RawData[[#This Row],[Length (Sec)]]&lt;1200, "Mid", RawData[[#This Row],[Length (Sec)]]&gt;1199, "Long")</f>
        <v>Mid</v>
      </c>
      <c r="R154" s="4" t="b">
        <f t="shared" ca="1" si="9"/>
        <v>0</v>
      </c>
      <c r="S154" s="4" t="b">
        <f t="shared" si="10"/>
        <v>1</v>
      </c>
      <c r="T154" s="4">
        <v>1</v>
      </c>
      <c r="U154" s="4"/>
      <c r="V154" s="4"/>
      <c r="W154" s="4"/>
      <c r="X154" s="4">
        <v>1</v>
      </c>
      <c r="Y154" s="4">
        <v>1</v>
      </c>
      <c r="Z154" s="4"/>
      <c r="AA154" s="4"/>
      <c r="AB154" s="4">
        <v>1</v>
      </c>
      <c r="AC154" s="4"/>
      <c r="AD154" s="4"/>
      <c r="AE154" s="4"/>
      <c r="AF154" s="4"/>
      <c r="AG154" s="4">
        <v>1</v>
      </c>
      <c r="AH154" s="4"/>
    </row>
    <row r="155" spans="1:34" ht="15" thickBot="1" x14ac:dyDescent="0.4">
      <c r="A155" s="1" t="s">
        <v>79</v>
      </c>
      <c r="B155" s="1" t="s">
        <v>18</v>
      </c>
      <c r="C155" s="10">
        <v>43632</v>
      </c>
      <c r="D155" s="14">
        <v>268169</v>
      </c>
      <c r="E155" s="18">
        <v>3.6520000000000001</v>
      </c>
      <c r="F155" s="14">
        <v>4312</v>
      </c>
      <c r="G155" s="18">
        <v>1.57</v>
      </c>
      <c r="H155" s="18">
        <v>36.36</v>
      </c>
      <c r="I155" s="14">
        <v>400766</v>
      </c>
      <c r="J155" s="14">
        <v>33519.868199999997</v>
      </c>
      <c r="K155" s="2">
        <v>5393</v>
      </c>
      <c r="L155" s="18">
        <v>627.98699999999997</v>
      </c>
      <c r="M155" s="14">
        <v>7522837</v>
      </c>
      <c r="N155" s="4">
        <v>3.55</v>
      </c>
      <c r="O155" s="82">
        <v>9.571759259259259E-3</v>
      </c>
      <c r="P155" s="86">
        <f t="shared" si="11"/>
        <v>827</v>
      </c>
      <c r="Q155" s="4" t="str" cm="1">
        <f t="array" ref="Q155">_xlfn.IFS(RawData[[#This Row],[Length (Sec)]]&lt;600, "Short", RawData[[#This Row],[Length (Sec)]]&lt;1200, "Mid", RawData[[#This Row],[Length (Sec)]]&gt;1199, "Long")</f>
        <v>Mid</v>
      </c>
      <c r="R155" s="4" t="b">
        <f t="shared" ca="1" si="9"/>
        <v>0</v>
      </c>
      <c r="S155" s="4" t="b">
        <f t="shared" si="10"/>
        <v>1</v>
      </c>
      <c r="T155" s="4">
        <v>1</v>
      </c>
      <c r="U155" s="4"/>
      <c r="V155" s="4"/>
      <c r="W155" s="4"/>
      <c r="X155" s="4">
        <v>1</v>
      </c>
      <c r="Y155" s="4">
        <v>1</v>
      </c>
      <c r="Z155" s="4"/>
      <c r="AA155" s="4"/>
      <c r="AB155" s="4"/>
      <c r="AC155" s="4">
        <v>1</v>
      </c>
      <c r="AD155" s="4"/>
      <c r="AE155" s="4"/>
      <c r="AF155" s="4"/>
      <c r="AG155" s="4">
        <v>1</v>
      </c>
      <c r="AH155" s="4"/>
    </row>
    <row r="156" spans="1:34" ht="15" thickBot="1" x14ac:dyDescent="0.4">
      <c r="A156" s="1" t="s">
        <v>344</v>
      </c>
      <c r="B156" s="45"/>
      <c r="C156" s="10">
        <v>43628</v>
      </c>
      <c r="D156" s="14">
        <v>38306</v>
      </c>
      <c r="E156" s="18">
        <v>4.3559999999999999</v>
      </c>
      <c r="F156" s="14">
        <v>0</v>
      </c>
      <c r="G156" s="18">
        <v>2.093</v>
      </c>
      <c r="H156" s="18">
        <v>31.3</v>
      </c>
      <c r="I156" s="14">
        <v>59132</v>
      </c>
      <c r="J156" s="14">
        <v>4544.4889000000003</v>
      </c>
      <c r="K156" s="2">
        <v>238</v>
      </c>
      <c r="L156" s="18">
        <v>123.736</v>
      </c>
      <c r="M156" s="14">
        <v>1724903</v>
      </c>
      <c r="N156" s="4">
        <v>2.39</v>
      </c>
      <c r="O156" s="82">
        <v>1.0231481481481482E-2</v>
      </c>
      <c r="P156" s="86">
        <f t="shared" si="11"/>
        <v>884</v>
      </c>
      <c r="Q156" s="4" t="str" cm="1">
        <f t="array" ref="Q156">_xlfn.IFS(RawData[[#This Row],[Length (Sec)]]&lt;600, "Short", RawData[[#This Row],[Length (Sec)]]&lt;1200, "Mid", RawData[[#This Row],[Length (Sec)]]&gt;1199, "Long")</f>
        <v>Mid</v>
      </c>
      <c r="R156" s="4" t="b">
        <f t="shared" ca="1" si="9"/>
        <v>0</v>
      </c>
      <c r="S156" s="4" t="b">
        <f t="shared" si="10"/>
        <v>1</v>
      </c>
      <c r="T156" s="4">
        <v>1</v>
      </c>
      <c r="U156" s="4">
        <v>1</v>
      </c>
      <c r="V156" s="4"/>
      <c r="W156" s="4"/>
      <c r="X156" s="4">
        <v>1</v>
      </c>
      <c r="Y156" s="4">
        <v>1</v>
      </c>
      <c r="Z156" s="4"/>
      <c r="AA156" s="4"/>
      <c r="AB156" s="4"/>
      <c r="AC156" s="4"/>
      <c r="AD156" s="4"/>
      <c r="AE156" s="4"/>
      <c r="AF156" s="4"/>
      <c r="AG156" s="4">
        <v>1</v>
      </c>
      <c r="AH156" s="4"/>
    </row>
    <row r="157" spans="1:34" ht="15" thickBot="1" x14ac:dyDescent="0.4">
      <c r="A157" s="1" t="s">
        <v>382</v>
      </c>
      <c r="B157" s="1" t="s">
        <v>37</v>
      </c>
      <c r="C157" s="10">
        <v>43623</v>
      </c>
      <c r="D157" s="14">
        <v>14523</v>
      </c>
      <c r="E157" s="18">
        <v>3.8420000000000001</v>
      </c>
      <c r="F157" s="14">
        <v>0</v>
      </c>
      <c r="G157" s="18">
        <v>1.294</v>
      </c>
      <c r="H157" s="18">
        <v>38.1</v>
      </c>
      <c r="I157" s="14">
        <v>28051</v>
      </c>
      <c r="J157" s="14">
        <v>1882.3997999999999</v>
      </c>
      <c r="K157" s="2">
        <v>-47</v>
      </c>
      <c r="L157" s="18">
        <v>36.304000000000002</v>
      </c>
      <c r="M157" s="14">
        <v>1222865</v>
      </c>
      <c r="N157" s="4">
        <v>1.64</v>
      </c>
      <c r="O157" s="82">
        <v>7.3379629629629628E-3</v>
      </c>
      <c r="P157" s="86">
        <f t="shared" si="11"/>
        <v>634</v>
      </c>
      <c r="Q157" s="4"/>
      <c r="R157" s="4" t="b">
        <f t="shared" ca="1" si="9"/>
        <v>0</v>
      </c>
      <c r="S157" s="4" t="b">
        <f t="shared" si="10"/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</row>
    <row r="158" spans="1:34" ht="15" thickBot="1" x14ac:dyDescent="0.4">
      <c r="A158" s="1" t="s">
        <v>417</v>
      </c>
      <c r="B158" s="1" t="s">
        <v>37</v>
      </c>
      <c r="C158" s="10">
        <v>43621</v>
      </c>
      <c r="D158" s="14">
        <v>13218</v>
      </c>
      <c r="E158" s="18">
        <v>5.476</v>
      </c>
      <c r="F158" s="14">
        <v>0</v>
      </c>
      <c r="G158" s="18">
        <v>2.113</v>
      </c>
      <c r="H158" s="18">
        <v>45.46</v>
      </c>
      <c r="I158" s="14">
        <v>23206</v>
      </c>
      <c r="J158" s="14">
        <v>1400.5841</v>
      </c>
      <c r="K158" s="2">
        <v>40</v>
      </c>
      <c r="L158" s="18">
        <v>49.040999999999997</v>
      </c>
      <c r="M158" s="14">
        <v>1096532</v>
      </c>
      <c r="N158" s="4">
        <v>1.39</v>
      </c>
      <c r="O158" s="82">
        <v>5.5324074074074069E-3</v>
      </c>
      <c r="P158" s="86">
        <f t="shared" si="11"/>
        <v>478</v>
      </c>
      <c r="Q158" s="4"/>
      <c r="R158" s="4" t="b">
        <f t="shared" ca="1" si="9"/>
        <v>0</v>
      </c>
      <c r="S158" s="4" t="b">
        <f t="shared" si="10"/>
        <v>1</v>
      </c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</row>
    <row r="159" spans="1:34" ht="15" thickBot="1" x14ac:dyDescent="0.4">
      <c r="A159" s="1" t="s">
        <v>305</v>
      </c>
      <c r="B159" s="1" t="s">
        <v>37</v>
      </c>
      <c r="C159" s="10">
        <v>43621</v>
      </c>
      <c r="D159" s="14">
        <v>80010</v>
      </c>
      <c r="E159" s="18">
        <v>4.5709999999999997</v>
      </c>
      <c r="F159" s="14">
        <v>0</v>
      </c>
      <c r="G159" s="18">
        <v>1.8260000000000001</v>
      </c>
      <c r="H159" s="18">
        <v>51.42</v>
      </c>
      <c r="I159" s="14">
        <v>136876</v>
      </c>
      <c r="J159" s="14">
        <v>6744.4526999999998</v>
      </c>
      <c r="K159" s="2">
        <v>754</v>
      </c>
      <c r="L159" s="18">
        <v>249.89500000000001</v>
      </c>
      <c r="M159" s="14">
        <v>2105704</v>
      </c>
      <c r="N159" s="4">
        <v>4.87</v>
      </c>
      <c r="O159" s="82">
        <v>3.9930555555555561E-3</v>
      </c>
      <c r="P159" s="86">
        <f t="shared" si="11"/>
        <v>345</v>
      </c>
      <c r="Q159" s="4" t="str" cm="1">
        <f t="array" ref="Q159">_xlfn.IFS(RawData[[#This Row],[Length (Sec)]]&lt;600, "Short", RawData[[#This Row],[Length (Sec)]]&lt;1200, "Mid", RawData[[#This Row],[Length (Sec)]]&gt;1199, "Long")</f>
        <v>Short</v>
      </c>
      <c r="R159" s="4" t="b">
        <f t="shared" ca="1" si="9"/>
        <v>0</v>
      </c>
      <c r="S159" s="4" t="b">
        <f t="shared" si="10"/>
        <v>1</v>
      </c>
      <c r="T159" s="4"/>
      <c r="U159" s="4"/>
      <c r="V159" s="4"/>
      <c r="W159" s="4"/>
      <c r="X159" s="4"/>
      <c r="Y159" s="4">
        <v>1</v>
      </c>
      <c r="Z159" s="4"/>
      <c r="AA159" s="4">
        <v>1</v>
      </c>
      <c r="AB159" s="4"/>
      <c r="AC159" s="4"/>
      <c r="AD159" s="4"/>
      <c r="AE159" s="4"/>
      <c r="AF159" s="4"/>
      <c r="AG159" s="4"/>
      <c r="AH159" s="4">
        <v>1</v>
      </c>
    </row>
    <row r="160" spans="1:34" ht="15" thickBot="1" x14ac:dyDescent="0.4">
      <c r="A160" s="1" t="s">
        <v>408</v>
      </c>
      <c r="B160" s="1" t="s">
        <v>37</v>
      </c>
      <c r="C160" s="10">
        <v>43620</v>
      </c>
      <c r="D160" s="14">
        <v>80153</v>
      </c>
      <c r="E160" s="18">
        <v>3.8849999999999998</v>
      </c>
      <c r="F160" s="14">
        <v>0</v>
      </c>
      <c r="G160" s="18">
        <v>1.4330000000000001</v>
      </c>
      <c r="H160" s="18">
        <v>42.78</v>
      </c>
      <c r="I160" s="14">
        <v>147940</v>
      </c>
      <c r="J160" s="14">
        <v>5608.4893000000002</v>
      </c>
      <c r="K160" s="2">
        <v>769</v>
      </c>
      <c r="L160" s="18">
        <v>211.84700000000001</v>
      </c>
      <c r="M160" s="14">
        <v>2019895</v>
      </c>
      <c r="N160" s="4">
        <v>5.51</v>
      </c>
      <c r="O160" s="82">
        <v>3.6921296296296298E-3</v>
      </c>
      <c r="P160" s="86">
        <f t="shared" si="11"/>
        <v>319</v>
      </c>
      <c r="Q160" s="4" t="str" cm="1">
        <f t="array" ref="Q160">_xlfn.IFS(RawData[[#This Row],[Length (Sec)]]&lt;600, "Short", RawData[[#This Row],[Length (Sec)]]&lt;1200, "Mid", RawData[[#This Row],[Length (Sec)]]&gt;1199, "Long")</f>
        <v>Short</v>
      </c>
      <c r="R160" s="4" t="b">
        <f t="shared" ca="1" si="9"/>
        <v>0</v>
      </c>
      <c r="S160" s="4" t="b">
        <f t="shared" si="10"/>
        <v>1</v>
      </c>
      <c r="T160" s="4"/>
      <c r="U160" s="4"/>
      <c r="V160" s="4">
        <v>1</v>
      </c>
      <c r="W160" s="4">
        <v>1</v>
      </c>
      <c r="X160" s="4"/>
      <c r="Y160" s="4">
        <v>1</v>
      </c>
      <c r="Z160" s="4"/>
      <c r="AA160" s="4">
        <v>1</v>
      </c>
      <c r="AB160" s="4"/>
      <c r="AC160" s="4"/>
      <c r="AD160" s="4"/>
      <c r="AE160" s="4"/>
      <c r="AF160" s="4"/>
      <c r="AG160" s="4"/>
      <c r="AH160" s="4"/>
    </row>
    <row r="161" spans="1:34" ht="15" thickBot="1" x14ac:dyDescent="0.4">
      <c r="A161" s="1" t="s">
        <v>384</v>
      </c>
      <c r="B161" s="1" t="s">
        <v>17</v>
      </c>
      <c r="C161" s="10">
        <v>43616</v>
      </c>
      <c r="D161" s="14">
        <v>23516</v>
      </c>
      <c r="E161" s="18">
        <v>4.24</v>
      </c>
      <c r="F161" s="14">
        <v>0</v>
      </c>
      <c r="G161" s="18">
        <v>1.4750000000000001</v>
      </c>
      <c r="H161" s="18">
        <v>29.36</v>
      </c>
      <c r="I161" s="14">
        <v>43560</v>
      </c>
      <c r="J161" s="14">
        <v>2241.9522999999999</v>
      </c>
      <c r="K161" s="2">
        <v>166</v>
      </c>
      <c r="L161" s="18">
        <v>64.23</v>
      </c>
      <c r="M161" s="14">
        <v>1155267</v>
      </c>
      <c r="N161" s="4">
        <v>2.7</v>
      </c>
      <c r="O161" s="82">
        <v>7.3032407407407412E-3</v>
      </c>
      <c r="P161" s="86">
        <f t="shared" si="11"/>
        <v>631</v>
      </c>
      <c r="Q161" s="4" t="str" cm="1">
        <f t="array" ref="Q161">_xlfn.IFS(RawData[[#This Row],[Length (Sec)]]&lt;600, "Short", RawData[[#This Row],[Length (Sec)]]&lt;1200, "Mid", RawData[[#This Row],[Length (Sec)]]&gt;1199, "Long")</f>
        <v>Mid</v>
      </c>
      <c r="R161" s="4" t="b">
        <f t="shared" ca="1" si="9"/>
        <v>0</v>
      </c>
      <c r="S161" s="4" t="b">
        <f t="shared" si="10"/>
        <v>1</v>
      </c>
      <c r="T161" s="4">
        <v>1</v>
      </c>
      <c r="U161" s="4">
        <v>1</v>
      </c>
      <c r="V161" s="4"/>
      <c r="W161" s="4">
        <v>1</v>
      </c>
      <c r="X161" s="4">
        <v>1</v>
      </c>
      <c r="Y161" s="4">
        <v>1</v>
      </c>
      <c r="Z161" s="4"/>
      <c r="AA161" s="4"/>
      <c r="AB161" s="4">
        <v>1</v>
      </c>
      <c r="AC161" s="4"/>
      <c r="AD161" s="4"/>
      <c r="AE161" s="4"/>
      <c r="AF161" s="4"/>
      <c r="AG161" s="4"/>
      <c r="AH161" s="4"/>
    </row>
    <row r="162" spans="1:34" ht="15" thickBot="1" x14ac:dyDescent="0.4">
      <c r="A162" s="1" t="s">
        <v>323</v>
      </c>
      <c r="B162" s="1" t="s">
        <v>37</v>
      </c>
      <c r="C162" s="10">
        <v>43613</v>
      </c>
      <c r="D162" s="14">
        <v>233678</v>
      </c>
      <c r="E162" s="18">
        <v>3.56</v>
      </c>
      <c r="F162" s="14">
        <v>0</v>
      </c>
      <c r="G162" s="18">
        <v>1.2949999999999999</v>
      </c>
      <c r="H162" s="18">
        <v>33.51</v>
      </c>
      <c r="I162" s="14">
        <v>434440</v>
      </c>
      <c r="J162" s="14">
        <v>21352.451300000001</v>
      </c>
      <c r="K162" s="2">
        <v>2324</v>
      </c>
      <c r="L162" s="18">
        <v>561.55999999999995</v>
      </c>
      <c r="M162" s="14">
        <v>4623178</v>
      </c>
      <c r="N162" s="4">
        <v>5.53</v>
      </c>
      <c r="O162" s="82">
        <v>6.1111111111111114E-3</v>
      </c>
      <c r="P162" s="86">
        <f t="shared" si="11"/>
        <v>528</v>
      </c>
      <c r="Q162" s="4" t="str" cm="1">
        <f t="array" ref="Q162">_xlfn.IFS(RawData[[#This Row],[Length (Sec)]]&lt;600, "Short", RawData[[#This Row],[Length (Sec)]]&lt;1200, "Mid", RawData[[#This Row],[Length (Sec)]]&gt;1199, "Long")</f>
        <v>Short</v>
      </c>
      <c r="R162" s="4" t="b">
        <f t="shared" ca="1" si="9"/>
        <v>0</v>
      </c>
      <c r="S162" s="4" t="b">
        <f t="shared" si="10"/>
        <v>1</v>
      </c>
      <c r="T162" s="4"/>
      <c r="U162" s="4"/>
      <c r="V162" s="4"/>
      <c r="W162" s="4">
        <v>1</v>
      </c>
      <c r="X162" s="4"/>
      <c r="Y162" s="4">
        <v>1</v>
      </c>
      <c r="Z162" s="4"/>
      <c r="AA162" s="4">
        <v>1</v>
      </c>
      <c r="AB162" s="4"/>
      <c r="AC162" s="4"/>
      <c r="AD162" s="4"/>
      <c r="AE162" s="4"/>
      <c r="AF162" s="4"/>
      <c r="AG162" s="4"/>
      <c r="AH162" s="4"/>
    </row>
    <row r="163" spans="1:34" ht="15" thickBot="1" x14ac:dyDescent="0.4">
      <c r="A163" s="1" t="s">
        <v>388</v>
      </c>
      <c r="B163" s="1" t="s">
        <v>17</v>
      </c>
      <c r="C163" s="10">
        <v>43612</v>
      </c>
      <c r="D163" s="14">
        <v>20512</v>
      </c>
      <c r="E163" s="18">
        <v>4.2809999999999997</v>
      </c>
      <c r="F163" s="14">
        <v>0</v>
      </c>
      <c r="G163" s="18">
        <v>1.6379999999999999</v>
      </c>
      <c r="H163" s="18">
        <v>19.420000000000002</v>
      </c>
      <c r="I163" s="14">
        <v>35068</v>
      </c>
      <c r="J163" s="14">
        <v>3234.5540999999998</v>
      </c>
      <c r="K163" s="2">
        <v>25</v>
      </c>
      <c r="L163" s="18">
        <v>57.430999999999997</v>
      </c>
      <c r="M163" s="14">
        <v>1475702</v>
      </c>
      <c r="N163" s="4">
        <v>1.66</v>
      </c>
      <c r="O163" s="82">
        <v>1.9791666666666666E-2</v>
      </c>
      <c r="P163" s="86">
        <f t="shared" si="11"/>
        <v>1710</v>
      </c>
      <c r="Q163" s="4" t="str" cm="1">
        <f t="array" ref="Q163">_xlfn.IFS(RawData[[#This Row],[Length (Sec)]]&lt;600, "Short", RawData[[#This Row],[Length (Sec)]]&lt;1200, "Mid", RawData[[#This Row],[Length (Sec)]]&gt;1199, "Long")</f>
        <v>Long</v>
      </c>
      <c r="R163" s="4" t="b">
        <f t="shared" ca="1" si="9"/>
        <v>0</v>
      </c>
      <c r="S163" s="4" t="b">
        <f t="shared" si="10"/>
        <v>1</v>
      </c>
      <c r="T163" s="4">
        <v>1</v>
      </c>
      <c r="U163" s="4">
        <v>1</v>
      </c>
      <c r="V163" s="4"/>
      <c r="W163" s="4"/>
      <c r="X163" s="4"/>
      <c r="Y163" s="4">
        <v>1</v>
      </c>
      <c r="Z163" s="4"/>
      <c r="AA163" s="4"/>
      <c r="AB163" s="4"/>
      <c r="AC163" s="4"/>
      <c r="AD163" s="4"/>
      <c r="AE163" s="4"/>
      <c r="AF163" s="4"/>
      <c r="AG163" s="4"/>
      <c r="AH163" s="4"/>
    </row>
    <row r="164" spans="1:34" ht="15" thickBot="1" x14ac:dyDescent="0.4">
      <c r="A164" s="1" t="s">
        <v>57</v>
      </c>
      <c r="B164" s="1" t="s">
        <v>18</v>
      </c>
      <c r="C164" s="10">
        <v>43606</v>
      </c>
      <c r="D164" s="14">
        <v>382496</v>
      </c>
      <c r="E164" s="18">
        <v>4.0860000000000003</v>
      </c>
      <c r="F164" s="14">
        <v>13077</v>
      </c>
      <c r="G164" s="18">
        <v>1.423</v>
      </c>
      <c r="H164" s="18">
        <v>37.81</v>
      </c>
      <c r="I164" s="14">
        <v>724495</v>
      </c>
      <c r="J164" s="14">
        <v>33174.972399999999</v>
      </c>
      <c r="K164" s="2">
        <v>8777</v>
      </c>
      <c r="L164" s="18">
        <v>1028.673</v>
      </c>
      <c r="M164" s="14">
        <v>9746319</v>
      </c>
      <c r="N164" s="4">
        <v>4.8600000000000003</v>
      </c>
      <c r="O164" s="82">
        <v>5.0347222222222225E-3</v>
      </c>
      <c r="P164" s="86">
        <f t="shared" si="11"/>
        <v>435</v>
      </c>
      <c r="Q164" s="4" t="str" cm="1">
        <f t="array" ref="Q164">_xlfn.IFS(RawData[[#This Row],[Length (Sec)]]&lt;600, "Short", RawData[[#This Row],[Length (Sec)]]&lt;1200, "Mid", RawData[[#This Row],[Length (Sec)]]&gt;1199, "Long")</f>
        <v>Short</v>
      </c>
      <c r="R164" s="4" t="b">
        <f t="shared" ca="1" si="9"/>
        <v>0</v>
      </c>
      <c r="S164" s="4" t="b">
        <f t="shared" si="10"/>
        <v>1</v>
      </c>
      <c r="T164" s="4"/>
      <c r="U164" s="4"/>
      <c r="V164" s="4"/>
      <c r="W164" s="4"/>
      <c r="X164" s="4"/>
      <c r="Y164" s="4">
        <v>1</v>
      </c>
      <c r="Z164" s="4"/>
      <c r="AA164" s="4">
        <v>1</v>
      </c>
      <c r="AB164" s="4"/>
      <c r="AC164" s="4"/>
      <c r="AD164" s="4"/>
      <c r="AE164" s="4"/>
      <c r="AF164" s="4"/>
      <c r="AG164" s="4"/>
      <c r="AH164" s="4"/>
    </row>
    <row r="165" spans="1:34" ht="15" thickBot="1" x14ac:dyDescent="0.4">
      <c r="A165" s="1" t="s">
        <v>130</v>
      </c>
      <c r="B165" s="1" t="s">
        <v>37</v>
      </c>
      <c r="C165" s="10">
        <v>43603</v>
      </c>
      <c r="D165" s="14">
        <v>325050</v>
      </c>
      <c r="E165" s="18">
        <v>4.6710000000000003</v>
      </c>
      <c r="F165" s="14">
        <v>1222</v>
      </c>
      <c r="G165" s="18">
        <v>2.1</v>
      </c>
      <c r="H165" s="18">
        <v>28.93</v>
      </c>
      <c r="I165" s="14">
        <v>491510</v>
      </c>
      <c r="J165" s="14">
        <v>33454.5864</v>
      </c>
      <c r="K165" s="2">
        <v>5264</v>
      </c>
      <c r="L165" s="18">
        <v>1030.329</v>
      </c>
      <c r="M165" s="14">
        <v>7661779</v>
      </c>
      <c r="N165" s="4">
        <v>4.67</v>
      </c>
      <c r="O165" s="82">
        <v>9.8032407407407408E-3</v>
      </c>
      <c r="P165" s="86">
        <f t="shared" si="11"/>
        <v>847</v>
      </c>
      <c r="Q165" s="4" t="str" cm="1">
        <f t="array" ref="Q165">_xlfn.IFS(RawData[[#This Row],[Length (Sec)]]&lt;600, "Short", RawData[[#This Row],[Length (Sec)]]&lt;1200, "Mid", RawData[[#This Row],[Length (Sec)]]&gt;1199, "Long")</f>
        <v>Mid</v>
      </c>
      <c r="R165" s="4" t="b">
        <f t="shared" ca="1" si="9"/>
        <v>0</v>
      </c>
      <c r="S165" s="4" t="b">
        <f t="shared" si="10"/>
        <v>1</v>
      </c>
      <c r="T165" s="4">
        <v>1</v>
      </c>
      <c r="U165" s="4">
        <v>1</v>
      </c>
      <c r="V165" s="4"/>
      <c r="W165" s="4"/>
      <c r="X165" s="4">
        <v>1</v>
      </c>
      <c r="Y165" s="4">
        <v>1</v>
      </c>
      <c r="Z165" s="4">
        <v>1</v>
      </c>
      <c r="AA165" s="4">
        <v>1</v>
      </c>
      <c r="AB165" s="4"/>
      <c r="AC165" s="4"/>
      <c r="AD165" s="4"/>
      <c r="AE165" s="4"/>
      <c r="AF165" s="4"/>
      <c r="AG165" s="4">
        <v>1</v>
      </c>
      <c r="AH165" s="4"/>
    </row>
    <row r="166" spans="1:34" ht="15" thickBot="1" x14ac:dyDescent="0.4">
      <c r="A166" s="1" t="s">
        <v>353</v>
      </c>
      <c r="B166" s="1" t="s">
        <v>37</v>
      </c>
      <c r="C166" s="10">
        <v>43592</v>
      </c>
      <c r="D166" s="14">
        <v>136417</v>
      </c>
      <c r="E166" s="18">
        <v>4.7889999999999997</v>
      </c>
      <c r="F166" s="14">
        <v>0</v>
      </c>
      <c r="G166" s="18">
        <v>1.8520000000000001</v>
      </c>
      <c r="H166" s="18">
        <v>54.8</v>
      </c>
      <c r="I166" s="14">
        <v>227609</v>
      </c>
      <c r="J166" s="14">
        <v>7553.3909000000003</v>
      </c>
      <c r="K166" s="2">
        <v>1350</v>
      </c>
      <c r="L166" s="18">
        <v>420.92399999999998</v>
      </c>
      <c r="M166" s="14">
        <v>2700820</v>
      </c>
      <c r="N166" s="4">
        <v>5.21</v>
      </c>
      <c r="O166" s="82">
        <v>2.5231481481481481E-3</v>
      </c>
      <c r="P166" s="86">
        <f t="shared" si="11"/>
        <v>218</v>
      </c>
      <c r="Q166" s="4" t="str" cm="1">
        <f t="array" ref="Q166">_xlfn.IFS(RawData[[#This Row],[Length (Sec)]]&lt;600, "Short", RawData[[#This Row],[Length (Sec)]]&lt;1200, "Mid", RawData[[#This Row],[Length (Sec)]]&gt;1199, "Long")</f>
        <v>Short</v>
      </c>
      <c r="R166" s="4" t="b">
        <f t="shared" ca="1" si="9"/>
        <v>0</v>
      </c>
      <c r="S166" s="4" t="b">
        <f t="shared" si="10"/>
        <v>1</v>
      </c>
      <c r="T166" s="4"/>
      <c r="U166" s="4"/>
      <c r="V166" s="4"/>
      <c r="W166" s="4"/>
      <c r="X166" s="4"/>
      <c r="Y166" s="4">
        <v>1</v>
      </c>
      <c r="Z166" s="4"/>
      <c r="AA166" s="4">
        <v>1</v>
      </c>
      <c r="AB166" s="4"/>
      <c r="AC166" s="4"/>
      <c r="AD166" s="4"/>
      <c r="AE166" s="4"/>
      <c r="AF166" s="4"/>
      <c r="AG166" s="4"/>
      <c r="AH166" s="4">
        <v>1</v>
      </c>
    </row>
    <row r="167" spans="1:34" ht="15" thickBot="1" x14ac:dyDescent="0.4">
      <c r="A167" s="1" t="s">
        <v>348</v>
      </c>
      <c r="B167" s="1" t="s">
        <v>17</v>
      </c>
      <c r="C167" s="10">
        <v>43587</v>
      </c>
      <c r="D167" s="14">
        <v>28354</v>
      </c>
      <c r="E167" s="18">
        <v>3.5819999999999999</v>
      </c>
      <c r="F167" s="14">
        <v>0</v>
      </c>
      <c r="G167" s="18">
        <v>1.1639999999999999</v>
      </c>
      <c r="H167" s="18">
        <v>24.16</v>
      </c>
      <c r="I167" s="14">
        <v>56610</v>
      </c>
      <c r="J167" s="14">
        <v>3290.6797000000001</v>
      </c>
      <c r="K167" s="2">
        <v>244</v>
      </c>
      <c r="L167" s="18">
        <v>65.879000000000005</v>
      </c>
      <c r="M167" s="14">
        <v>1304854</v>
      </c>
      <c r="N167" s="4">
        <v>3.17</v>
      </c>
      <c r="O167" s="82">
        <v>1.0023148148148147E-2</v>
      </c>
      <c r="P167" s="86">
        <f t="shared" si="11"/>
        <v>866</v>
      </c>
      <c r="Q167" s="4" t="str" cm="1">
        <f t="array" ref="Q167">_xlfn.IFS(RawData[[#This Row],[Length (Sec)]]&lt;600, "Short", RawData[[#This Row],[Length (Sec)]]&lt;1200, "Mid", RawData[[#This Row],[Length (Sec)]]&gt;1199, "Long")</f>
        <v>Mid</v>
      </c>
      <c r="R167" s="4" t="b">
        <f t="shared" ca="1" si="9"/>
        <v>0</v>
      </c>
      <c r="S167" s="4" t="b">
        <f t="shared" si="10"/>
        <v>1</v>
      </c>
      <c r="T167" s="4">
        <v>1</v>
      </c>
      <c r="U167" s="4">
        <v>1</v>
      </c>
      <c r="V167" s="4"/>
      <c r="W167" s="4">
        <v>1</v>
      </c>
      <c r="X167" s="4">
        <v>1</v>
      </c>
      <c r="Y167" s="4">
        <v>1</v>
      </c>
      <c r="Z167" s="4"/>
      <c r="AA167" s="4">
        <v>1</v>
      </c>
      <c r="AB167" s="4"/>
      <c r="AC167" s="4"/>
      <c r="AD167" s="4"/>
      <c r="AE167" s="4"/>
      <c r="AF167" s="4"/>
      <c r="AG167" s="4"/>
      <c r="AH167" s="4"/>
    </row>
    <row r="168" spans="1:34" ht="15" thickBot="1" x14ac:dyDescent="0.4">
      <c r="A168" s="1" t="s">
        <v>90</v>
      </c>
      <c r="B168" s="1" t="s">
        <v>37</v>
      </c>
      <c r="C168" s="10">
        <v>43578</v>
      </c>
      <c r="D168" s="14">
        <v>1007718</v>
      </c>
      <c r="E168" s="18">
        <v>3.8290000000000002</v>
      </c>
      <c r="F168" s="14">
        <v>3207</v>
      </c>
      <c r="G168" s="18">
        <v>1.6739999999999999</v>
      </c>
      <c r="H168" s="18">
        <v>31.17</v>
      </c>
      <c r="I168" s="14">
        <v>1593554</v>
      </c>
      <c r="J168" s="14">
        <v>144452.07889999999</v>
      </c>
      <c r="K168" s="2">
        <v>29403</v>
      </c>
      <c r="L168" s="18">
        <v>2665.9029999999998</v>
      </c>
      <c r="M168" s="14">
        <v>28326221</v>
      </c>
      <c r="N168" s="4">
        <v>4.0199999999999996</v>
      </c>
      <c r="O168" s="82">
        <v>1.2118055555555556E-2</v>
      </c>
      <c r="P168" s="86">
        <f t="shared" ref="P168:P174" si="12">60*MINUTE(O168) + SECOND(O168)</f>
        <v>1047</v>
      </c>
      <c r="Q168" s="4" t="str" cm="1">
        <f t="array" ref="Q168">_xlfn.IFS(RawData[[#This Row],[Length (Sec)]]&lt;600, "Short", RawData[[#This Row],[Length (Sec)]]&lt;1200, "Mid", RawData[[#This Row],[Length (Sec)]]&gt;1199, "Long")</f>
        <v>Mid</v>
      </c>
      <c r="R168" s="4" t="b">
        <f t="shared" ca="1" si="9"/>
        <v>0</v>
      </c>
      <c r="S168" s="4" t="b">
        <f t="shared" si="10"/>
        <v>1</v>
      </c>
      <c r="T168" s="4"/>
      <c r="U168" s="4"/>
      <c r="V168" s="4"/>
      <c r="W168" s="4">
        <v>1</v>
      </c>
      <c r="X168" s="4"/>
      <c r="Y168" s="4">
        <v>1</v>
      </c>
      <c r="Z168" s="4"/>
      <c r="AA168" s="4">
        <v>1</v>
      </c>
      <c r="AB168" s="4"/>
      <c r="AC168" s="4"/>
      <c r="AD168" s="4"/>
      <c r="AE168" s="4"/>
      <c r="AF168" s="4"/>
      <c r="AG168" s="4"/>
      <c r="AH168" s="4"/>
    </row>
    <row r="169" spans="1:34" ht="15" thickBot="1" x14ac:dyDescent="0.4">
      <c r="A169" s="1" t="s">
        <v>273</v>
      </c>
      <c r="B169" s="1" t="s">
        <v>17</v>
      </c>
      <c r="C169" s="10">
        <v>43571</v>
      </c>
      <c r="D169" s="14">
        <v>27063</v>
      </c>
      <c r="E169" s="18">
        <v>3.4390000000000001</v>
      </c>
      <c r="F169" s="14">
        <v>0</v>
      </c>
      <c r="G169" s="18">
        <v>1.169</v>
      </c>
      <c r="H169" s="18">
        <v>51.8</v>
      </c>
      <c r="I169" s="14">
        <v>53167</v>
      </c>
      <c r="J169" s="14">
        <v>2463.3368999999998</v>
      </c>
      <c r="K169" s="2">
        <v>334</v>
      </c>
      <c r="L169" s="18">
        <v>62.119</v>
      </c>
      <c r="M169" s="14">
        <v>1445799</v>
      </c>
      <c r="N169" s="4">
        <v>2.57</v>
      </c>
      <c r="O169" s="82">
        <v>3.7268518518518514E-3</v>
      </c>
      <c r="P169" s="86">
        <f t="shared" si="12"/>
        <v>322</v>
      </c>
      <c r="Q169" s="4" t="str" cm="1">
        <f t="array" ref="Q169">_xlfn.IFS(RawData[[#This Row],[Length (Sec)]]&lt;600, "Short", RawData[[#This Row],[Length (Sec)]]&lt;1200, "Mid", RawData[[#This Row],[Length (Sec)]]&gt;1199, "Long")</f>
        <v>Short</v>
      </c>
      <c r="R169" s="4" t="b">
        <f t="shared" ca="1" si="9"/>
        <v>0</v>
      </c>
      <c r="S169" s="4" t="b">
        <f t="shared" si="10"/>
        <v>1</v>
      </c>
      <c r="T169" s="4"/>
      <c r="U169" s="4"/>
      <c r="V169" s="4"/>
      <c r="W169" s="4"/>
      <c r="X169" s="4"/>
      <c r="Y169" s="4">
        <v>1</v>
      </c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34" ht="15" thickBot="1" x14ac:dyDescent="0.4">
      <c r="A170" s="1" t="s">
        <v>86</v>
      </c>
      <c r="B170" s="1" t="s">
        <v>18</v>
      </c>
      <c r="C170" s="10">
        <v>43564</v>
      </c>
      <c r="D170" s="14">
        <v>2781039</v>
      </c>
      <c r="E170" s="18">
        <v>3.052</v>
      </c>
      <c r="F170" s="14">
        <v>3460</v>
      </c>
      <c r="G170" s="18">
        <v>1.321</v>
      </c>
      <c r="H170" s="18">
        <v>13.99</v>
      </c>
      <c r="I170" s="14">
        <v>4858464</v>
      </c>
      <c r="J170" s="14">
        <v>202407.06200000001</v>
      </c>
      <c r="K170" s="2">
        <v>149719</v>
      </c>
      <c r="L170" s="18">
        <v>6408.9260000000004</v>
      </c>
      <c r="M170" s="14">
        <v>62191081</v>
      </c>
      <c r="N170" s="4">
        <v>5.18</v>
      </c>
      <c r="O170" s="82">
        <v>1.2407407407407409E-2</v>
      </c>
      <c r="P170" s="86">
        <f t="shared" si="12"/>
        <v>1072</v>
      </c>
      <c r="Q170" s="4"/>
      <c r="R170" s="4" t="b">
        <f t="shared" ca="1" si="9"/>
        <v>0</v>
      </c>
      <c r="S170" s="4" t="b">
        <f t="shared" si="10"/>
        <v>1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34" ht="15" thickBot="1" x14ac:dyDescent="0.4">
      <c r="A171" s="1" t="s">
        <v>302</v>
      </c>
      <c r="B171" s="1" t="s">
        <v>37</v>
      </c>
      <c r="C171" s="10">
        <v>43557</v>
      </c>
      <c r="D171" s="14">
        <v>30871</v>
      </c>
      <c r="E171" s="18">
        <v>4.8630000000000004</v>
      </c>
      <c r="F171" s="14">
        <v>0</v>
      </c>
      <c r="G171" s="18">
        <v>1.7470000000000001</v>
      </c>
      <c r="H171" s="18">
        <v>44.73</v>
      </c>
      <c r="I171" s="14">
        <v>56324</v>
      </c>
      <c r="J171" s="14">
        <v>2379.5621000000001</v>
      </c>
      <c r="K171" s="2">
        <v>348</v>
      </c>
      <c r="L171" s="18">
        <v>98.320999999999998</v>
      </c>
      <c r="M171" s="14">
        <v>1623094</v>
      </c>
      <c r="N171" s="4">
        <v>2.44</v>
      </c>
      <c r="O171" s="82">
        <v>3.9351851851851857E-3</v>
      </c>
      <c r="P171" s="86">
        <f t="shared" si="12"/>
        <v>340</v>
      </c>
      <c r="Q171" s="4" t="str" cm="1">
        <f t="array" ref="Q171">_xlfn.IFS(RawData[[#This Row],[Length (Sec)]]&lt;600, "Short", RawData[[#This Row],[Length (Sec)]]&lt;1200, "Mid", RawData[[#This Row],[Length (Sec)]]&gt;1199, "Long")</f>
        <v>Short</v>
      </c>
      <c r="R171" s="4" t="b">
        <f t="shared" ca="1" si="9"/>
        <v>0</v>
      </c>
      <c r="S171" s="4" t="b">
        <f t="shared" si="10"/>
        <v>1</v>
      </c>
      <c r="T171" s="4"/>
      <c r="U171" s="4"/>
      <c r="V171" s="4"/>
      <c r="W171" s="4"/>
      <c r="X171" s="4"/>
      <c r="Y171" s="4">
        <v>1</v>
      </c>
      <c r="Z171" s="4"/>
      <c r="AA171" s="4">
        <v>1</v>
      </c>
      <c r="AB171" s="4"/>
      <c r="AC171" s="4"/>
      <c r="AD171" s="4"/>
      <c r="AE171" s="4"/>
      <c r="AF171" s="4"/>
      <c r="AG171" s="4"/>
      <c r="AH171" s="4">
        <v>1</v>
      </c>
    </row>
    <row r="172" spans="1:34" ht="15" thickBot="1" x14ac:dyDescent="0.4">
      <c r="A172" s="1" t="s">
        <v>359</v>
      </c>
      <c r="B172" s="1" t="s">
        <v>17</v>
      </c>
      <c r="C172" s="10">
        <v>43554</v>
      </c>
      <c r="D172" s="14">
        <v>25196</v>
      </c>
      <c r="E172" s="18">
        <v>3.7010000000000001</v>
      </c>
      <c r="F172" s="14">
        <v>0</v>
      </c>
      <c r="G172" s="18">
        <v>1.2509999999999999</v>
      </c>
      <c r="H172" s="18">
        <v>25.29</v>
      </c>
      <c r="I172" s="14">
        <v>47320</v>
      </c>
      <c r="J172" s="14">
        <v>2563.1556999999998</v>
      </c>
      <c r="K172" s="2">
        <v>259</v>
      </c>
      <c r="L172" s="18">
        <v>59.161000000000001</v>
      </c>
      <c r="M172" s="14">
        <v>1316093</v>
      </c>
      <c r="N172" s="4">
        <v>2.6</v>
      </c>
      <c r="O172" s="82">
        <v>8.9236111111111113E-3</v>
      </c>
      <c r="P172" s="86">
        <f t="shared" si="12"/>
        <v>771</v>
      </c>
      <c r="Q172" s="4" t="str" cm="1">
        <f t="array" ref="Q172">_xlfn.IFS(RawData[[#This Row],[Length (Sec)]]&lt;600, "Short", RawData[[#This Row],[Length (Sec)]]&lt;1200, "Mid", RawData[[#This Row],[Length (Sec)]]&gt;1199, "Long")</f>
        <v>Mid</v>
      </c>
      <c r="R172" s="4" t="b">
        <f t="shared" ca="1" si="9"/>
        <v>0</v>
      </c>
      <c r="S172" s="4" t="b">
        <f t="shared" si="10"/>
        <v>1</v>
      </c>
      <c r="T172" s="4">
        <v>1</v>
      </c>
      <c r="U172" s="4">
        <v>1</v>
      </c>
      <c r="V172" s="4"/>
      <c r="W172" s="4">
        <v>1</v>
      </c>
      <c r="X172" s="4">
        <v>1</v>
      </c>
      <c r="Y172" s="4">
        <v>1</v>
      </c>
      <c r="Z172" s="4"/>
      <c r="AA172" s="4"/>
      <c r="AB172" s="4">
        <v>1</v>
      </c>
      <c r="AC172" s="4"/>
      <c r="AD172" s="4"/>
      <c r="AE172" s="4"/>
      <c r="AF172" s="4"/>
      <c r="AG172" s="4"/>
      <c r="AH172" s="4"/>
    </row>
    <row r="173" spans="1:34" ht="15" thickBot="1" x14ac:dyDescent="0.4">
      <c r="A173" s="1" t="s">
        <v>87</v>
      </c>
      <c r="B173" s="1" t="s">
        <v>37</v>
      </c>
      <c r="C173" s="10">
        <v>43550</v>
      </c>
      <c r="D173" s="14">
        <v>302311</v>
      </c>
      <c r="E173" s="18">
        <v>3.6640000000000001</v>
      </c>
      <c r="F173" s="14">
        <v>3395</v>
      </c>
      <c r="G173" s="18">
        <v>1.319</v>
      </c>
      <c r="H173" s="18">
        <v>38.869999999999997</v>
      </c>
      <c r="I173" s="14">
        <v>539546</v>
      </c>
      <c r="J173" s="14">
        <v>35065.922500000001</v>
      </c>
      <c r="K173" s="2">
        <v>5335</v>
      </c>
      <c r="L173" s="18">
        <v>711.05</v>
      </c>
      <c r="M173" s="14">
        <v>9572582</v>
      </c>
      <c r="N173" s="4">
        <v>4.1500000000000004</v>
      </c>
      <c r="O173" s="82">
        <v>6.9675925925925921E-3</v>
      </c>
      <c r="P173" s="86">
        <f t="shared" si="12"/>
        <v>602</v>
      </c>
      <c r="Q173" s="4" t="str" cm="1">
        <f t="array" ref="Q173">_xlfn.IFS(RawData[[#This Row],[Length (Sec)]]&lt;600, "Short", RawData[[#This Row],[Length (Sec)]]&lt;1200, "Mid", RawData[[#This Row],[Length (Sec)]]&gt;1199, "Long")</f>
        <v>Mid</v>
      </c>
      <c r="R173" s="4" t="b">
        <f t="shared" ca="1" si="9"/>
        <v>0</v>
      </c>
      <c r="S173" s="4" t="b">
        <f t="shared" si="10"/>
        <v>1</v>
      </c>
      <c r="T173" s="4"/>
      <c r="U173" s="4"/>
      <c r="V173" s="4"/>
      <c r="W173" s="4"/>
      <c r="X173" s="4"/>
      <c r="Y173" s="4">
        <v>1</v>
      </c>
      <c r="Z173" s="4"/>
      <c r="AA173" s="4">
        <v>1</v>
      </c>
      <c r="AB173" s="4"/>
      <c r="AC173" s="4"/>
      <c r="AD173" s="4"/>
      <c r="AE173" s="4"/>
      <c r="AF173" s="4"/>
      <c r="AG173" s="4"/>
      <c r="AH173" s="4">
        <v>1</v>
      </c>
    </row>
    <row r="174" spans="1:34" ht="15" thickBot="1" x14ac:dyDescent="0.4">
      <c r="A174" s="1" t="s">
        <v>412</v>
      </c>
      <c r="B174" s="1" t="s">
        <v>37</v>
      </c>
      <c r="C174" s="10">
        <v>43542</v>
      </c>
      <c r="D174" s="14">
        <v>71433</v>
      </c>
      <c r="E174" s="18">
        <v>4.7190000000000003</v>
      </c>
      <c r="F174" s="14">
        <v>0</v>
      </c>
      <c r="G174" s="18">
        <v>2.0169999999999999</v>
      </c>
      <c r="H174" s="18">
        <v>46.4</v>
      </c>
      <c r="I174" s="14">
        <v>109335</v>
      </c>
      <c r="J174" s="14">
        <v>4453.143</v>
      </c>
      <c r="K174" s="2">
        <v>1093</v>
      </c>
      <c r="L174" s="18">
        <v>220.18100000000001</v>
      </c>
      <c r="M174" s="14">
        <v>1950083</v>
      </c>
      <c r="N174" s="4">
        <v>4.22</v>
      </c>
      <c r="O174" s="82">
        <v>3.6574074074074074E-3</v>
      </c>
      <c r="P174" s="86">
        <f t="shared" si="12"/>
        <v>316</v>
      </c>
      <c r="Q174" s="4" t="str" cm="1">
        <f t="array" ref="Q174">_xlfn.IFS(RawData[[#This Row],[Length (Sec)]]&lt;600, "Short", RawData[[#This Row],[Length (Sec)]]&lt;1200, "Mid", RawData[[#This Row],[Length (Sec)]]&gt;1199, "Long")</f>
        <v>Short</v>
      </c>
      <c r="R174" s="4" t="b">
        <f t="shared" ca="1" si="9"/>
        <v>0</v>
      </c>
      <c r="S174" s="4" t="b">
        <f t="shared" si="10"/>
        <v>1</v>
      </c>
      <c r="T174" s="4">
        <v>1</v>
      </c>
      <c r="U174" s="4">
        <v>1</v>
      </c>
      <c r="V174" s="4"/>
      <c r="W174" s="4">
        <v>1</v>
      </c>
      <c r="X174" s="4">
        <v>1</v>
      </c>
      <c r="Y174" s="4">
        <v>1</v>
      </c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34" ht="15" thickBot="1" x14ac:dyDescent="0.4">
      <c r="A175" s="1" t="s">
        <v>373</v>
      </c>
      <c r="B175" s="46"/>
      <c r="C175" s="10">
        <v>43536</v>
      </c>
      <c r="D175" s="14">
        <v>49485</v>
      </c>
      <c r="E175" s="18">
        <v>3.2909999999999999</v>
      </c>
      <c r="F175" s="14">
        <v>0</v>
      </c>
      <c r="G175" s="18">
        <v>1.2490000000000001</v>
      </c>
      <c r="H175" s="18">
        <v>36.83</v>
      </c>
      <c r="I175" s="14">
        <v>81373</v>
      </c>
      <c r="J175" s="14">
        <v>5294.9268000000002</v>
      </c>
      <c r="K175" s="2">
        <v>562</v>
      </c>
      <c r="L175" s="18">
        <v>101.60899999999999</v>
      </c>
      <c r="M175" s="14">
        <v>820519</v>
      </c>
      <c r="N175" s="4">
        <v>6.93</v>
      </c>
      <c r="O175" s="82"/>
      <c r="P175" s="86"/>
      <c r="Q175" s="4"/>
      <c r="R175" s="4" t="b">
        <f t="shared" ca="1" si="9"/>
        <v>0</v>
      </c>
      <c r="S175" s="4" t="b">
        <f t="shared" si="10"/>
        <v>1</v>
      </c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34" ht="15" thickBot="1" x14ac:dyDescent="0.4">
      <c r="A176" s="1" t="s">
        <v>174</v>
      </c>
      <c r="B176" s="1" t="s">
        <v>37</v>
      </c>
      <c r="C176" s="10">
        <v>43529</v>
      </c>
      <c r="D176" s="14">
        <v>34747</v>
      </c>
      <c r="E176" s="18">
        <v>4.1239999999999997</v>
      </c>
      <c r="F176" s="14">
        <v>274</v>
      </c>
      <c r="G176" s="18">
        <v>1.655</v>
      </c>
      <c r="H176" s="18">
        <v>44.45</v>
      </c>
      <c r="I176" s="14">
        <v>56615</v>
      </c>
      <c r="J176" s="14">
        <v>4082.4407000000001</v>
      </c>
      <c r="K176" s="2">
        <v>283</v>
      </c>
      <c r="L176" s="18">
        <v>93.662999999999997</v>
      </c>
      <c r="M176" s="14">
        <v>1344924</v>
      </c>
      <c r="N176" s="4">
        <v>3.07</v>
      </c>
      <c r="O176" s="82">
        <v>6.7592592592592591E-3</v>
      </c>
      <c r="P176" s="86">
        <f>60*MINUTE(O176) + SECOND(O176)</f>
        <v>584</v>
      </c>
      <c r="Q176" s="4" t="str" cm="1">
        <f t="array" ref="Q176">_xlfn.IFS(RawData[[#This Row],[Length (Sec)]]&lt;600, "Short", RawData[[#This Row],[Length (Sec)]]&lt;1200, "Mid", RawData[[#This Row],[Length (Sec)]]&gt;1199, "Long")</f>
        <v>Short</v>
      </c>
      <c r="R176" s="4" t="b">
        <f t="shared" ca="1" si="9"/>
        <v>0</v>
      </c>
      <c r="S176" s="4" t="b">
        <f t="shared" si="10"/>
        <v>1</v>
      </c>
      <c r="T176" s="4"/>
      <c r="U176" s="4"/>
      <c r="V176" s="4"/>
      <c r="W176" s="4"/>
      <c r="X176" s="4"/>
      <c r="Y176" s="4">
        <v>1</v>
      </c>
      <c r="Z176" s="4"/>
      <c r="AA176" s="4">
        <v>1</v>
      </c>
      <c r="AB176" s="4"/>
      <c r="AC176" s="4"/>
      <c r="AD176" s="4"/>
      <c r="AE176" s="4"/>
      <c r="AF176" s="4"/>
      <c r="AG176" s="4"/>
      <c r="AH176" s="4"/>
    </row>
    <row r="177" spans="1:34" ht="15" thickBot="1" x14ac:dyDescent="0.4">
      <c r="A177" s="1" t="s">
        <v>123</v>
      </c>
      <c r="B177" s="1" t="s">
        <v>18</v>
      </c>
      <c r="C177" s="10">
        <v>43520</v>
      </c>
      <c r="D177" s="14">
        <v>213875</v>
      </c>
      <c r="E177" s="18">
        <v>3.1859999999999999</v>
      </c>
      <c r="F177" s="14">
        <v>1377</v>
      </c>
      <c r="G177" s="18">
        <v>0.89800000000000002</v>
      </c>
      <c r="H177" s="18">
        <v>34.6</v>
      </c>
      <c r="I177" s="14">
        <v>488138</v>
      </c>
      <c r="J177" s="14">
        <v>38615.859400000001</v>
      </c>
      <c r="K177" s="2">
        <v>7988</v>
      </c>
      <c r="L177" s="18">
        <v>437.18299999999999</v>
      </c>
      <c r="M177" s="14">
        <v>8921474</v>
      </c>
      <c r="N177" s="4">
        <v>3.41</v>
      </c>
      <c r="O177" s="82">
        <v>9.525462962962963E-3</v>
      </c>
      <c r="P177" s="86">
        <f>60*MINUTE(O177) + SECOND(O177)</f>
        <v>823</v>
      </c>
      <c r="Q177" s="4" t="str" cm="1">
        <f t="array" ref="Q177">_xlfn.IFS(RawData[[#This Row],[Length (Sec)]]&lt;600, "Short", RawData[[#This Row],[Length (Sec)]]&lt;1200, "Mid", RawData[[#This Row],[Length (Sec)]]&gt;1199, "Long")</f>
        <v>Mid</v>
      </c>
      <c r="R177" s="4" t="b">
        <f t="shared" ca="1" si="9"/>
        <v>0</v>
      </c>
      <c r="S177" s="4" t="b">
        <f t="shared" si="10"/>
        <v>1</v>
      </c>
      <c r="T177" s="4">
        <v>1</v>
      </c>
      <c r="U177" s="4"/>
      <c r="V177" s="4"/>
      <c r="W177" s="4"/>
      <c r="X177" s="4">
        <v>1</v>
      </c>
      <c r="Y177" s="4">
        <v>1</v>
      </c>
      <c r="Z177" s="4"/>
      <c r="AA177" s="4"/>
      <c r="AB177" s="4"/>
      <c r="AC177" s="4">
        <v>1</v>
      </c>
      <c r="AD177" s="4"/>
      <c r="AE177" s="4"/>
      <c r="AF177" s="4"/>
      <c r="AG177" s="4">
        <v>1</v>
      </c>
      <c r="AH177" s="4"/>
    </row>
    <row r="178" spans="1:34" ht="15" thickBot="1" x14ac:dyDescent="0.4">
      <c r="A178" s="1" t="s">
        <v>115</v>
      </c>
      <c r="B178" s="1" t="s">
        <v>37</v>
      </c>
      <c r="C178" s="10">
        <v>43514</v>
      </c>
      <c r="D178" s="14">
        <v>106868</v>
      </c>
      <c r="E178" s="18">
        <v>4.5110000000000001</v>
      </c>
      <c r="F178" s="14">
        <v>1674</v>
      </c>
      <c r="G178" s="18">
        <v>1.2250000000000001</v>
      </c>
      <c r="H178" s="18">
        <v>37</v>
      </c>
      <c r="I178" s="14">
        <v>267827</v>
      </c>
      <c r="J178" s="14">
        <v>13434.830400000001</v>
      </c>
      <c r="K178" s="2">
        <v>1344</v>
      </c>
      <c r="L178" s="18">
        <v>327.89400000000001</v>
      </c>
      <c r="M178" s="14">
        <v>3305855</v>
      </c>
      <c r="N178" s="4">
        <v>5.81</v>
      </c>
      <c r="O178" s="82">
        <v>5.6481481481481478E-3</v>
      </c>
      <c r="P178" s="86">
        <f>60*MINUTE(O178) + SECOND(O178)</f>
        <v>488</v>
      </c>
      <c r="Q178" s="4" t="str" cm="1">
        <f t="array" ref="Q178">_xlfn.IFS(RawData[[#This Row],[Length (Sec)]]&lt;600, "Short", RawData[[#This Row],[Length (Sec)]]&lt;1200, "Mid", RawData[[#This Row],[Length (Sec)]]&gt;1199, "Long")</f>
        <v>Short</v>
      </c>
      <c r="R178" s="4" t="b">
        <f t="shared" ca="1" si="9"/>
        <v>0</v>
      </c>
      <c r="S178" s="4" t="b">
        <f t="shared" si="10"/>
        <v>1</v>
      </c>
      <c r="T178" s="4"/>
      <c r="U178" s="4"/>
      <c r="V178" s="4">
        <v>1</v>
      </c>
      <c r="W178" s="4"/>
      <c r="X178" s="4"/>
      <c r="Y178" s="4">
        <v>1</v>
      </c>
      <c r="Z178" s="4"/>
      <c r="AA178" s="4">
        <v>1</v>
      </c>
      <c r="AB178" s="4"/>
      <c r="AC178" s="4"/>
      <c r="AD178" s="4"/>
      <c r="AE178" s="4"/>
      <c r="AF178" s="4"/>
      <c r="AG178" s="4"/>
      <c r="AH178" s="4">
        <v>1</v>
      </c>
    </row>
    <row r="179" spans="1:34" ht="15" thickBot="1" x14ac:dyDescent="0.4">
      <c r="A179" s="1" t="s">
        <v>350</v>
      </c>
      <c r="B179" s="45"/>
      <c r="C179" s="10">
        <v>43510</v>
      </c>
      <c r="D179" s="14">
        <v>5595</v>
      </c>
      <c r="E179" s="18">
        <v>3.81</v>
      </c>
      <c r="F179" s="14">
        <v>0</v>
      </c>
      <c r="G179" s="18">
        <v>0.70099999999999996</v>
      </c>
      <c r="H179" s="18">
        <v>10.94</v>
      </c>
      <c r="I179" s="14">
        <v>11869</v>
      </c>
      <c r="J179" s="14">
        <v>999.12149999999997</v>
      </c>
      <c r="K179" s="2">
        <v>38</v>
      </c>
      <c r="L179" s="18">
        <v>8.3149999999999995</v>
      </c>
      <c r="M179" s="14">
        <v>782426</v>
      </c>
      <c r="N179" s="4">
        <v>1.1599999999999999</v>
      </c>
      <c r="O179" s="82"/>
      <c r="P179" s="86"/>
      <c r="Q179" s="4"/>
      <c r="R179" s="4" t="b">
        <f t="shared" ca="1" si="9"/>
        <v>0</v>
      </c>
      <c r="S179" s="4" t="b">
        <f t="shared" si="10"/>
        <v>0</v>
      </c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ht="15" thickBot="1" x14ac:dyDescent="0.4">
      <c r="A180" s="1" t="s">
        <v>377</v>
      </c>
      <c r="B180" s="1" t="s">
        <v>36</v>
      </c>
      <c r="C180" s="10">
        <v>43507</v>
      </c>
      <c r="D180" s="14">
        <v>480301</v>
      </c>
      <c r="E180" s="18">
        <v>4.6890000000000001</v>
      </c>
      <c r="F180" s="14">
        <v>0</v>
      </c>
      <c r="G180" s="18">
        <v>2.254</v>
      </c>
      <c r="H180" s="18">
        <v>29.29</v>
      </c>
      <c r="I180" s="14">
        <v>622494</v>
      </c>
      <c r="J180" s="14">
        <v>44564.656999999999</v>
      </c>
      <c r="K180" s="2">
        <v>12003</v>
      </c>
      <c r="L180" s="18">
        <v>1400.0989999999999</v>
      </c>
      <c r="M180" s="14">
        <v>11695694</v>
      </c>
      <c r="N180" s="4">
        <v>3.39</v>
      </c>
      <c r="O180" s="82">
        <v>1.0185185185185184E-2</v>
      </c>
      <c r="P180" s="86">
        <f>60*MINUTE(O180) + SECOND(O180)</f>
        <v>880</v>
      </c>
      <c r="Q180" s="4" t="str" cm="1">
        <f t="array" ref="Q180">_xlfn.IFS(RawData[[#This Row],[Length (Sec)]]&lt;600, "Short", RawData[[#This Row],[Length (Sec)]]&lt;1200, "Mid", RawData[[#This Row],[Length (Sec)]]&gt;1199, "Long")</f>
        <v>Mid</v>
      </c>
      <c r="R180" s="4" t="b">
        <f t="shared" ca="1" si="9"/>
        <v>0</v>
      </c>
      <c r="S180" s="4" t="b">
        <f t="shared" si="10"/>
        <v>1</v>
      </c>
      <c r="T180" s="4">
        <v>1</v>
      </c>
      <c r="U180" s="4">
        <v>1</v>
      </c>
      <c r="V180" s="4"/>
      <c r="W180" s="4">
        <v>1</v>
      </c>
      <c r="X180" s="4">
        <v>1</v>
      </c>
      <c r="Y180" s="4">
        <v>1</v>
      </c>
      <c r="Z180" s="4"/>
      <c r="AA180" s="4"/>
      <c r="AB180" s="4">
        <v>1</v>
      </c>
      <c r="AC180" s="4"/>
      <c r="AD180" s="4"/>
      <c r="AE180" s="4"/>
      <c r="AF180" s="4"/>
      <c r="AG180" s="4"/>
      <c r="AH180" s="4"/>
    </row>
    <row r="181" spans="1:34" ht="15" thickBot="1" x14ac:dyDescent="0.4">
      <c r="A181" s="1" t="s">
        <v>347</v>
      </c>
      <c r="B181" s="1" t="s">
        <v>37</v>
      </c>
      <c r="C181" s="10">
        <v>43503</v>
      </c>
      <c r="D181" s="14">
        <v>7090</v>
      </c>
      <c r="E181" s="18">
        <v>4.1719999999999997</v>
      </c>
      <c r="F181" s="14">
        <v>0</v>
      </c>
      <c r="G181" s="18">
        <v>0.66600000000000004</v>
      </c>
      <c r="H181" s="18">
        <v>35.700000000000003</v>
      </c>
      <c r="I181" s="14">
        <v>29647</v>
      </c>
      <c r="J181" s="14">
        <v>2102.3557000000001</v>
      </c>
      <c r="K181" s="2">
        <v>204</v>
      </c>
      <c r="L181" s="18">
        <v>19.73</v>
      </c>
      <c r="M181" s="14">
        <v>948111</v>
      </c>
      <c r="N181" s="4">
        <v>2.21</v>
      </c>
      <c r="O181" s="82">
        <v>8.2754629629629619E-3</v>
      </c>
      <c r="P181" s="86">
        <f>60*MINUTE(O181) + SECOND(O181)</f>
        <v>715</v>
      </c>
      <c r="Q181" s="4" t="str" cm="1">
        <f t="array" ref="Q181">_xlfn.IFS(RawData[[#This Row],[Length (Sec)]]&lt;600, "Short", RawData[[#This Row],[Length (Sec)]]&lt;1200, "Mid", RawData[[#This Row],[Length (Sec)]]&gt;1199, "Long")</f>
        <v>Mid</v>
      </c>
      <c r="R181" s="4" t="b">
        <f t="shared" ca="1" si="9"/>
        <v>0</v>
      </c>
      <c r="S181" s="4" t="b">
        <f t="shared" si="10"/>
        <v>1</v>
      </c>
      <c r="T181" s="4"/>
      <c r="U181" s="4"/>
      <c r="V181" s="4"/>
      <c r="W181" s="4"/>
      <c r="X181" s="4"/>
      <c r="Y181" s="4">
        <v>1</v>
      </c>
      <c r="Z181" s="4"/>
      <c r="AA181" s="4">
        <v>1</v>
      </c>
      <c r="AB181" s="4"/>
      <c r="AC181" s="4"/>
      <c r="AD181" s="4"/>
      <c r="AE181" s="4"/>
      <c r="AF181" s="4"/>
      <c r="AG181" s="4"/>
      <c r="AH181" s="4"/>
    </row>
    <row r="182" spans="1:34" ht="15" thickBot="1" x14ac:dyDescent="0.4">
      <c r="A182" s="1" t="s">
        <v>381</v>
      </c>
      <c r="B182" s="1" t="s">
        <v>18</v>
      </c>
      <c r="C182" s="10">
        <v>43496</v>
      </c>
      <c r="D182" s="14">
        <v>0</v>
      </c>
      <c r="E182" s="19"/>
      <c r="F182" s="14">
        <v>0</v>
      </c>
      <c r="G182" s="18">
        <v>0</v>
      </c>
      <c r="H182" s="18">
        <v>28.53</v>
      </c>
      <c r="I182" s="14">
        <v>301729</v>
      </c>
      <c r="J182" s="14">
        <v>18674.465100000001</v>
      </c>
      <c r="K182" s="2">
        <v>4410</v>
      </c>
      <c r="L182" s="18">
        <v>0</v>
      </c>
      <c r="M182" s="14">
        <v>4300589</v>
      </c>
      <c r="N182" s="4">
        <v>4.59</v>
      </c>
      <c r="O182" s="82">
        <v>9.0393518518518522E-3</v>
      </c>
      <c r="P182" s="86">
        <f>60*MINUTE(O182) + SECOND(O182)</f>
        <v>781</v>
      </c>
      <c r="Q182" s="4" t="str" cm="1">
        <f t="array" ref="Q182">_xlfn.IFS(RawData[[#This Row],[Length (Sec)]]&lt;600, "Short", RawData[[#This Row],[Length (Sec)]]&lt;1200, "Mid", RawData[[#This Row],[Length (Sec)]]&gt;1199, "Long")</f>
        <v>Mid</v>
      </c>
      <c r="R182" s="4" t="b">
        <f t="shared" ca="1" si="9"/>
        <v>0</v>
      </c>
      <c r="S182" s="4" t="b">
        <f t="shared" si="10"/>
        <v>1</v>
      </c>
      <c r="T182" s="4">
        <v>1</v>
      </c>
      <c r="U182" s="4"/>
      <c r="V182" s="4"/>
      <c r="W182" s="4"/>
      <c r="X182" s="4">
        <v>1</v>
      </c>
      <c r="Y182" s="4">
        <v>1</v>
      </c>
      <c r="Z182" s="4"/>
      <c r="AA182" s="4">
        <v>1</v>
      </c>
      <c r="AB182" s="4"/>
      <c r="AC182" s="4"/>
      <c r="AD182" s="4"/>
      <c r="AE182" s="4"/>
      <c r="AF182" s="4"/>
      <c r="AG182" s="4">
        <v>1</v>
      </c>
      <c r="AH182" s="4"/>
    </row>
    <row r="183" spans="1:34" ht="15" thickBot="1" x14ac:dyDescent="0.4">
      <c r="A183" s="1" t="s">
        <v>63</v>
      </c>
      <c r="B183" s="1" t="s">
        <v>37</v>
      </c>
      <c r="C183" s="10">
        <v>43485</v>
      </c>
      <c r="D183" s="14">
        <v>341517</v>
      </c>
      <c r="E183" s="18">
        <v>5.1360000000000001</v>
      </c>
      <c r="F183" s="14">
        <v>10255</v>
      </c>
      <c r="G183" s="18">
        <v>2.524</v>
      </c>
      <c r="H183" s="18">
        <v>40.69</v>
      </c>
      <c r="I183" s="14">
        <v>459260</v>
      </c>
      <c r="J183" s="14">
        <v>27458.887900000002</v>
      </c>
      <c r="K183" s="2">
        <v>4730</v>
      </c>
      <c r="L183" s="18">
        <v>1159.242</v>
      </c>
      <c r="M183" s="14">
        <v>6561790</v>
      </c>
      <c r="N183" s="4">
        <v>5.26</v>
      </c>
      <c r="O183" s="82">
        <v>6.122685185185185E-3</v>
      </c>
      <c r="P183" s="86">
        <f>60*MINUTE(O183) + SECOND(O183)</f>
        <v>529</v>
      </c>
      <c r="Q183" s="4" t="str" cm="1">
        <f t="array" ref="Q183">_xlfn.IFS(RawData[[#This Row],[Length (Sec)]]&lt;600, "Short", RawData[[#This Row],[Length (Sec)]]&lt;1200, "Mid", RawData[[#This Row],[Length (Sec)]]&gt;1199, "Long")</f>
        <v>Short</v>
      </c>
      <c r="R183" s="4" t="b">
        <f t="shared" ca="1" si="9"/>
        <v>0</v>
      </c>
      <c r="S183" s="4" t="b">
        <f t="shared" si="10"/>
        <v>1</v>
      </c>
      <c r="T183" s="4">
        <v>1</v>
      </c>
      <c r="U183" s="4">
        <v>1</v>
      </c>
      <c r="V183" s="4"/>
      <c r="W183" s="4"/>
      <c r="X183" s="4">
        <v>1</v>
      </c>
      <c r="Y183" s="4">
        <v>1</v>
      </c>
      <c r="Z183" s="4"/>
      <c r="AA183" s="4"/>
      <c r="AB183" s="4"/>
      <c r="AC183" s="4"/>
      <c r="AD183" s="4"/>
      <c r="AE183" s="4"/>
      <c r="AF183" s="4"/>
      <c r="AG183" s="4">
        <v>1</v>
      </c>
      <c r="AH183" s="4"/>
    </row>
    <row r="184" spans="1:34" ht="15" thickBot="1" x14ac:dyDescent="0.4">
      <c r="A184" s="1" t="s">
        <v>391</v>
      </c>
      <c r="B184" s="1"/>
      <c r="C184" s="10">
        <v>43463</v>
      </c>
      <c r="D184" s="14">
        <v>14995</v>
      </c>
      <c r="E184" s="18">
        <v>3.8069999999999999</v>
      </c>
      <c r="F184" s="14">
        <v>0</v>
      </c>
      <c r="G184" s="18">
        <v>0.52100000000000002</v>
      </c>
      <c r="H184" s="18">
        <v>42.42</v>
      </c>
      <c r="I184" s="14">
        <v>31936</v>
      </c>
      <c r="J184" s="14">
        <v>718.77279999999996</v>
      </c>
      <c r="K184" s="2">
        <v>119</v>
      </c>
      <c r="L184" s="18">
        <v>16.614999999999998</v>
      </c>
      <c r="M184" s="14">
        <v>828791</v>
      </c>
      <c r="N184" s="4">
        <v>2.75</v>
      </c>
      <c r="O184" s="82"/>
      <c r="P184" s="86"/>
      <c r="Q184" s="4"/>
      <c r="R184" s="4" t="b">
        <f t="shared" ca="1" si="9"/>
        <v>0</v>
      </c>
      <c r="S184" s="4" t="b">
        <f t="shared" si="10"/>
        <v>1</v>
      </c>
      <c r="T184" s="4">
        <v>1</v>
      </c>
      <c r="U184" s="4"/>
      <c r="V184" s="4">
        <v>1</v>
      </c>
      <c r="W184" s="4"/>
      <c r="X184" s="4"/>
      <c r="Y184" s="4">
        <v>1</v>
      </c>
      <c r="Z184" s="4">
        <v>1</v>
      </c>
      <c r="AA184" s="4"/>
      <c r="AB184" s="4"/>
      <c r="AC184" s="4"/>
      <c r="AD184" s="4"/>
      <c r="AE184" s="4"/>
      <c r="AF184" s="4"/>
      <c r="AG184" s="4"/>
      <c r="AH184" s="4"/>
    </row>
    <row r="185" spans="1:34" ht="15" thickBot="1" x14ac:dyDescent="0.4">
      <c r="A185" s="1" t="s">
        <v>84</v>
      </c>
      <c r="B185" s="1"/>
      <c r="C185" s="10">
        <v>43456</v>
      </c>
      <c r="D185" s="14">
        <v>511547</v>
      </c>
      <c r="E185" s="18">
        <v>3.952</v>
      </c>
      <c r="F185" s="14">
        <v>3743</v>
      </c>
      <c r="G185" s="18">
        <v>1.879</v>
      </c>
      <c r="H185" s="18">
        <v>38.64</v>
      </c>
      <c r="I185" s="14">
        <v>740273</v>
      </c>
      <c r="J185" s="14">
        <v>59110.867299999998</v>
      </c>
      <c r="K185" s="2">
        <v>11628</v>
      </c>
      <c r="L185" s="18">
        <v>1388.6489999999999</v>
      </c>
      <c r="M185" s="14">
        <v>14014986</v>
      </c>
      <c r="N185" s="4">
        <v>3.53</v>
      </c>
      <c r="O185" s="82"/>
      <c r="P185" s="86"/>
      <c r="Q185" s="4"/>
      <c r="R185" s="4" t="b">
        <f t="shared" ca="1" si="9"/>
        <v>0</v>
      </c>
      <c r="S185" s="4" t="b">
        <f t="shared" si="10"/>
        <v>1</v>
      </c>
      <c r="T185" s="4">
        <v>1</v>
      </c>
      <c r="U185" s="4"/>
      <c r="V185" s="4"/>
      <c r="W185" s="4"/>
      <c r="X185" s="4">
        <v>1</v>
      </c>
      <c r="Y185" s="4">
        <v>1</v>
      </c>
      <c r="Z185" s="4"/>
      <c r="AA185" s="4"/>
      <c r="AB185" s="4"/>
      <c r="AC185" s="4">
        <v>1</v>
      </c>
      <c r="AD185" s="4"/>
      <c r="AE185" s="4"/>
      <c r="AF185" s="4"/>
      <c r="AG185" s="4"/>
      <c r="AH185" s="4"/>
    </row>
    <row r="186" spans="1:34" ht="15" thickBot="1" x14ac:dyDescent="0.4">
      <c r="A186" s="1" t="s">
        <v>279</v>
      </c>
      <c r="B186" s="1"/>
      <c r="C186" s="10">
        <v>43450</v>
      </c>
      <c r="D186" s="14">
        <v>11788</v>
      </c>
      <c r="E186" s="18">
        <v>5.1040000000000001</v>
      </c>
      <c r="F186" s="14">
        <v>0</v>
      </c>
      <c r="G186" s="18">
        <v>1.5209999999999999</v>
      </c>
      <c r="H186" s="18">
        <v>45.99</v>
      </c>
      <c r="I186" s="14">
        <v>26393</v>
      </c>
      <c r="J186" s="14">
        <v>842.92089999999996</v>
      </c>
      <c r="K186" s="2">
        <v>103</v>
      </c>
      <c r="L186" s="18">
        <v>40.113999999999997</v>
      </c>
      <c r="M186" s="14">
        <v>768028</v>
      </c>
      <c r="N186" s="4">
        <v>2.57</v>
      </c>
      <c r="O186" s="82"/>
      <c r="P186" s="86"/>
      <c r="Q186" s="4"/>
      <c r="R186" s="4" t="b">
        <f t="shared" ca="1" si="9"/>
        <v>0</v>
      </c>
      <c r="S186" s="4" t="b">
        <f t="shared" si="10"/>
        <v>1</v>
      </c>
      <c r="T186" s="4">
        <v>1</v>
      </c>
      <c r="U186" s="4"/>
      <c r="V186" s="4"/>
      <c r="W186" s="4"/>
      <c r="X186" s="4">
        <v>1</v>
      </c>
      <c r="Y186" s="4">
        <v>1</v>
      </c>
      <c r="Z186" s="4"/>
      <c r="AA186" s="4">
        <v>1</v>
      </c>
      <c r="AB186" s="4"/>
      <c r="AC186" s="4">
        <v>1</v>
      </c>
      <c r="AD186" s="4"/>
      <c r="AE186" s="4"/>
      <c r="AF186" s="4"/>
      <c r="AG186" s="4"/>
      <c r="AH186" s="4"/>
    </row>
    <row r="187" spans="1:34" ht="15" thickBot="1" x14ac:dyDescent="0.4">
      <c r="A187" s="1" t="s">
        <v>434</v>
      </c>
      <c r="B187" s="1"/>
      <c r="C187" s="10">
        <v>43442</v>
      </c>
      <c r="D187" s="14">
        <v>23043</v>
      </c>
      <c r="E187" s="18">
        <v>3.9580000000000002</v>
      </c>
      <c r="F187" s="14">
        <v>0</v>
      </c>
      <c r="G187" s="18">
        <v>1.6180000000000001</v>
      </c>
      <c r="H187" s="18">
        <v>20.05</v>
      </c>
      <c r="I187" s="14">
        <v>38765</v>
      </c>
      <c r="J187" s="14">
        <v>4892.8780999999999</v>
      </c>
      <c r="K187" s="2">
        <v>388</v>
      </c>
      <c r="L187" s="18">
        <v>62.670999999999999</v>
      </c>
      <c r="M187" s="14">
        <v>1034429</v>
      </c>
      <c r="N187" s="4">
        <v>2.25</v>
      </c>
      <c r="O187" s="82"/>
      <c r="P187" s="86"/>
      <c r="Q187" s="4"/>
      <c r="R187" s="4" t="b">
        <f t="shared" ca="1" si="9"/>
        <v>0</v>
      </c>
      <c r="S187" s="4" t="b">
        <f t="shared" si="10"/>
        <v>1</v>
      </c>
      <c r="T187" s="4">
        <v>1</v>
      </c>
      <c r="U187" s="4">
        <v>1</v>
      </c>
      <c r="V187" s="4"/>
      <c r="W187" s="4"/>
      <c r="X187" s="4">
        <v>1</v>
      </c>
      <c r="Y187" s="4">
        <v>1</v>
      </c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ht="15" thickBot="1" x14ac:dyDescent="0.4">
      <c r="A188" s="1" t="s">
        <v>325</v>
      </c>
      <c r="B188" s="1"/>
      <c r="C188" s="10">
        <v>43437</v>
      </c>
      <c r="D188" s="14">
        <v>114813</v>
      </c>
      <c r="E188" s="18">
        <v>4</v>
      </c>
      <c r="F188" s="14">
        <v>0</v>
      </c>
      <c r="G188" s="18">
        <v>1.6319999999999999</v>
      </c>
      <c r="H188" s="18">
        <v>53.23</v>
      </c>
      <c r="I188" s="14">
        <v>193560</v>
      </c>
      <c r="J188" s="14">
        <v>8614.9915000000001</v>
      </c>
      <c r="K188" s="2">
        <v>1456</v>
      </c>
      <c r="L188" s="18">
        <v>315.68900000000002</v>
      </c>
      <c r="M188" s="14">
        <v>4676083</v>
      </c>
      <c r="N188" s="4">
        <v>3.22</v>
      </c>
      <c r="O188" s="82"/>
      <c r="P188" s="86"/>
      <c r="Q188" s="4"/>
      <c r="R188" s="4" t="b">
        <f t="shared" ca="1" si="9"/>
        <v>0</v>
      </c>
      <c r="S188" s="4" t="b">
        <f t="shared" si="10"/>
        <v>1</v>
      </c>
      <c r="T188" s="4">
        <v>1</v>
      </c>
      <c r="U188" s="4"/>
      <c r="V188" s="4"/>
      <c r="W188" s="4">
        <v>1</v>
      </c>
      <c r="X188" s="4">
        <v>1</v>
      </c>
      <c r="Y188" s="4">
        <v>1</v>
      </c>
      <c r="Z188" s="4"/>
      <c r="AA188" s="4"/>
      <c r="AB188" s="4"/>
      <c r="AC188" s="4">
        <v>1</v>
      </c>
      <c r="AD188" s="4"/>
      <c r="AE188" s="4"/>
      <c r="AF188" s="4"/>
      <c r="AG188" s="4"/>
      <c r="AH188" s="4"/>
    </row>
    <row r="189" spans="1:34" ht="15" thickBot="1" x14ac:dyDescent="0.4">
      <c r="A189" s="1" t="s">
        <v>345</v>
      </c>
      <c r="B189" s="1"/>
      <c r="C189" s="10">
        <v>43433</v>
      </c>
      <c r="D189" s="14">
        <v>203572</v>
      </c>
      <c r="E189" s="18">
        <v>3.7429999999999999</v>
      </c>
      <c r="F189" s="14">
        <v>0</v>
      </c>
      <c r="G189" s="18">
        <v>1.476</v>
      </c>
      <c r="H189" s="18">
        <v>40.65</v>
      </c>
      <c r="I189" s="14">
        <v>353908</v>
      </c>
      <c r="J189" s="14">
        <v>17864.2533</v>
      </c>
      <c r="K189" s="2">
        <v>4763</v>
      </c>
      <c r="L189" s="18">
        <v>522.02800000000002</v>
      </c>
      <c r="M189" s="14">
        <v>4352927</v>
      </c>
      <c r="N189" s="4">
        <v>5.43</v>
      </c>
      <c r="O189" s="82"/>
      <c r="P189" s="86"/>
      <c r="Q189" s="4"/>
      <c r="R189" s="4" t="b">
        <f t="shared" ca="1" si="9"/>
        <v>0</v>
      </c>
      <c r="S189" s="4" t="b">
        <f t="shared" si="10"/>
        <v>1</v>
      </c>
      <c r="T189" s="4"/>
      <c r="U189" s="4"/>
      <c r="V189" s="4">
        <v>1</v>
      </c>
      <c r="W189" s="4"/>
      <c r="X189" s="4"/>
      <c r="Y189" s="4">
        <v>1</v>
      </c>
      <c r="Z189" s="4"/>
      <c r="AA189" s="4">
        <v>1</v>
      </c>
      <c r="AB189" s="4"/>
      <c r="AC189" s="4"/>
      <c r="AD189" s="4"/>
      <c r="AE189" s="4"/>
      <c r="AF189" s="4"/>
      <c r="AG189" s="4"/>
      <c r="AH189" s="4">
        <v>1</v>
      </c>
    </row>
    <row r="190" spans="1:34" ht="15" thickBot="1" x14ac:dyDescent="0.4">
      <c r="A190" s="1" t="s">
        <v>419</v>
      </c>
      <c r="B190" s="1"/>
      <c r="C190" s="10">
        <v>43427</v>
      </c>
      <c r="D190" s="14">
        <v>40554</v>
      </c>
      <c r="E190" s="18">
        <v>3.6440000000000001</v>
      </c>
      <c r="F190" s="14">
        <v>0</v>
      </c>
      <c r="G190" s="18">
        <v>1.2310000000000001</v>
      </c>
      <c r="H190" s="18">
        <v>45.69</v>
      </c>
      <c r="I190" s="14">
        <v>82867</v>
      </c>
      <c r="J190" s="14">
        <v>3775.5846000000001</v>
      </c>
      <c r="K190" s="2">
        <v>493</v>
      </c>
      <c r="L190" s="18">
        <v>101.914</v>
      </c>
      <c r="M190" s="14">
        <v>1259293</v>
      </c>
      <c r="N190" s="4">
        <v>3.5</v>
      </c>
      <c r="O190" s="82"/>
      <c r="P190" s="86"/>
      <c r="Q190" s="4"/>
      <c r="R190" s="4" t="b">
        <f t="shared" ca="1" si="9"/>
        <v>0</v>
      </c>
      <c r="S190" s="4" t="b">
        <f t="shared" si="10"/>
        <v>1</v>
      </c>
      <c r="T190" s="4"/>
      <c r="U190" s="4"/>
      <c r="V190" s="4">
        <v>1</v>
      </c>
      <c r="W190" s="4">
        <v>1</v>
      </c>
      <c r="X190" s="4"/>
      <c r="Y190" s="4">
        <v>1</v>
      </c>
      <c r="Z190" s="4"/>
      <c r="AA190" s="4">
        <v>1</v>
      </c>
      <c r="AB190" s="4"/>
      <c r="AC190" s="4"/>
      <c r="AD190" s="4"/>
      <c r="AE190" s="4"/>
      <c r="AF190" s="4"/>
      <c r="AG190" s="4"/>
      <c r="AH190" s="4">
        <v>1</v>
      </c>
    </row>
    <row r="191" spans="1:34" ht="15" thickBot="1" x14ac:dyDescent="0.4">
      <c r="A191" s="1" t="s">
        <v>126</v>
      </c>
      <c r="B191" s="1"/>
      <c r="C191" s="10">
        <v>43423</v>
      </c>
      <c r="D191" s="14">
        <v>111062</v>
      </c>
      <c r="E191" s="18">
        <v>5.343</v>
      </c>
      <c r="F191" s="14">
        <v>1329</v>
      </c>
      <c r="G191" s="18">
        <v>3.2719999999999998</v>
      </c>
      <c r="H191" s="18">
        <v>36.840000000000003</v>
      </c>
      <c r="I191" s="14">
        <v>176159</v>
      </c>
      <c r="J191" s="14">
        <v>13320.739100000001</v>
      </c>
      <c r="K191" s="2">
        <v>1557</v>
      </c>
      <c r="L191" s="18">
        <v>576.30899999999997</v>
      </c>
      <c r="M191" s="14">
        <v>4318712</v>
      </c>
      <c r="N191" s="4">
        <v>2.72</v>
      </c>
      <c r="O191" s="82"/>
      <c r="P191" s="86"/>
      <c r="Q191" s="4"/>
      <c r="R191" s="4" t="b">
        <f t="shared" ca="1" si="9"/>
        <v>0</v>
      </c>
      <c r="S191" s="4" t="b">
        <f t="shared" si="10"/>
        <v>1</v>
      </c>
      <c r="T191" s="4"/>
      <c r="U191" s="4"/>
      <c r="V191" s="4"/>
      <c r="W191" s="4"/>
      <c r="X191" s="4"/>
      <c r="Y191" s="4">
        <v>1</v>
      </c>
      <c r="Z191" s="4"/>
      <c r="AA191" s="4">
        <v>1</v>
      </c>
      <c r="AB191" s="4"/>
      <c r="AC191" s="4"/>
      <c r="AD191" s="4"/>
      <c r="AE191" s="4"/>
      <c r="AF191" s="4"/>
      <c r="AG191" s="4"/>
      <c r="AH191" s="4"/>
    </row>
    <row r="192" spans="1:34" ht="15" thickBot="1" x14ac:dyDescent="0.4">
      <c r="A192" s="1" t="s">
        <v>416</v>
      </c>
      <c r="B192" s="1"/>
      <c r="C192" s="10">
        <v>43416</v>
      </c>
      <c r="D192" s="14">
        <v>7704</v>
      </c>
      <c r="E192" s="18">
        <v>3.653</v>
      </c>
      <c r="F192" s="14">
        <v>0</v>
      </c>
      <c r="G192" s="18">
        <v>1.4330000000000001</v>
      </c>
      <c r="H192" s="18">
        <v>56.14</v>
      </c>
      <c r="I192" s="14">
        <v>13293</v>
      </c>
      <c r="J192" s="14">
        <v>711.04840000000002</v>
      </c>
      <c r="K192" s="2">
        <v>29</v>
      </c>
      <c r="L192" s="18">
        <v>18.992000000000001</v>
      </c>
      <c r="M192" s="14">
        <v>372947</v>
      </c>
      <c r="N192" s="4">
        <v>2.72</v>
      </c>
      <c r="O192" s="82"/>
      <c r="P192" s="86"/>
      <c r="Q192" s="4"/>
      <c r="R192" s="4" t="b">
        <f t="shared" ca="1" si="9"/>
        <v>0</v>
      </c>
      <c r="S192" s="4" t="b">
        <f t="shared" si="10"/>
        <v>0</v>
      </c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ht="15" thickBot="1" x14ac:dyDescent="0.4">
      <c r="A193" s="1" t="s">
        <v>342</v>
      </c>
      <c r="B193" s="1"/>
      <c r="C193" s="10">
        <v>43409</v>
      </c>
      <c r="D193" s="14">
        <v>2669</v>
      </c>
      <c r="E193" s="18">
        <v>5.0780000000000003</v>
      </c>
      <c r="F193" s="14">
        <v>0</v>
      </c>
      <c r="G193" s="18">
        <v>1.893</v>
      </c>
      <c r="H193" s="18">
        <v>28.4</v>
      </c>
      <c r="I193" s="14">
        <v>4821</v>
      </c>
      <c r="J193" s="14">
        <v>208.81229999999999</v>
      </c>
      <c r="K193" s="2">
        <v>15</v>
      </c>
      <c r="L193" s="18">
        <v>9.1120000000000001</v>
      </c>
      <c r="M193" s="14">
        <v>513964</v>
      </c>
      <c r="N193" s="4">
        <v>0.59</v>
      </c>
      <c r="O193" s="82"/>
      <c r="P193" s="86"/>
      <c r="Q193" s="4"/>
      <c r="R193" s="4" t="b">
        <f t="shared" ca="1" si="9"/>
        <v>0</v>
      </c>
      <c r="S193" s="4" t="b">
        <f t="shared" si="10"/>
        <v>0</v>
      </c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ht="15" thickBot="1" x14ac:dyDescent="0.4">
      <c r="A194" s="1" t="s">
        <v>159</v>
      </c>
      <c r="B194" s="1"/>
      <c r="C194" s="10">
        <v>43405</v>
      </c>
      <c r="D194" s="14">
        <v>55924</v>
      </c>
      <c r="E194" s="18">
        <v>4.1310000000000002</v>
      </c>
      <c r="F194" s="14">
        <v>466</v>
      </c>
      <c r="G194" s="18">
        <v>1.5269999999999999</v>
      </c>
      <c r="H194" s="18">
        <v>28.85</v>
      </c>
      <c r="I194" s="14">
        <v>103737</v>
      </c>
      <c r="J194" s="14">
        <v>9642.6640000000007</v>
      </c>
      <c r="K194" s="2">
        <v>611</v>
      </c>
      <c r="L194" s="18">
        <v>158.35400000000001</v>
      </c>
      <c r="M194" s="14">
        <v>2924977</v>
      </c>
      <c r="N194" s="4">
        <v>2.63</v>
      </c>
      <c r="O194" s="82"/>
      <c r="P194" s="86"/>
      <c r="Q194" s="4"/>
      <c r="R194" s="4" t="b">
        <f t="shared" ref="R194:R257" ca="1" si="13">IF(DATEDIF(C194,TODAY(),"d")&gt;365,FALSE, TRUE)</f>
        <v>0</v>
      </c>
      <c r="S194" s="4" t="b">
        <f t="shared" ref="S194:S257" si="14">IF(I194&lt;15000,FALSE, TRUE)</f>
        <v>1</v>
      </c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</row>
    <row r="195" spans="1:34" ht="15" thickBot="1" x14ac:dyDescent="0.4">
      <c r="A195" s="1" t="s">
        <v>383</v>
      </c>
      <c r="B195" s="1"/>
      <c r="C195" s="10">
        <v>43402</v>
      </c>
      <c r="D195" s="14">
        <v>82914</v>
      </c>
      <c r="E195" s="18">
        <v>3.88</v>
      </c>
      <c r="F195" s="14">
        <v>0</v>
      </c>
      <c r="G195" s="18">
        <v>1.4750000000000001</v>
      </c>
      <c r="H195" s="18">
        <v>45.27</v>
      </c>
      <c r="I195" s="14">
        <v>152914</v>
      </c>
      <c r="J195" s="14">
        <v>8826.8467999999993</v>
      </c>
      <c r="K195" s="2">
        <v>787</v>
      </c>
      <c r="L195" s="18">
        <v>225.459</v>
      </c>
      <c r="M195" s="14">
        <v>2752440</v>
      </c>
      <c r="N195" s="4">
        <v>3.94</v>
      </c>
      <c r="O195" s="82"/>
      <c r="P195" s="86"/>
      <c r="Q195" s="4"/>
      <c r="R195" s="4" t="b">
        <f t="shared" ca="1" si="13"/>
        <v>0</v>
      </c>
      <c r="S195" s="4" t="b">
        <f t="shared" si="14"/>
        <v>1</v>
      </c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</row>
    <row r="196" spans="1:34" ht="15" thickBot="1" x14ac:dyDescent="0.4">
      <c r="A196" s="1" t="s">
        <v>393</v>
      </c>
      <c r="B196" s="1"/>
      <c r="C196" s="10">
        <v>43398</v>
      </c>
      <c r="D196" s="14">
        <v>8782</v>
      </c>
      <c r="E196" s="18">
        <v>4.6399999999999997</v>
      </c>
      <c r="F196" s="14">
        <v>0</v>
      </c>
      <c r="G196" s="18">
        <v>2.125</v>
      </c>
      <c r="H196" s="18">
        <v>33.159999999999997</v>
      </c>
      <c r="I196" s="14">
        <v>17483</v>
      </c>
      <c r="J196" s="14">
        <v>1191.7226000000001</v>
      </c>
      <c r="K196" s="2">
        <v>74</v>
      </c>
      <c r="L196" s="18">
        <v>37.14</v>
      </c>
      <c r="M196" s="14">
        <v>682104</v>
      </c>
      <c r="N196" s="4">
        <v>1.82</v>
      </c>
      <c r="O196" s="82"/>
      <c r="P196" s="86"/>
      <c r="Q196" s="4"/>
      <c r="R196" s="4" t="b">
        <f t="shared" ca="1" si="13"/>
        <v>0</v>
      </c>
      <c r="S196" s="4" t="b">
        <f t="shared" si="14"/>
        <v>1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</row>
    <row r="197" spans="1:34" ht="15" thickBot="1" x14ac:dyDescent="0.4">
      <c r="A197" s="1" t="s">
        <v>282</v>
      </c>
      <c r="B197" s="1"/>
      <c r="C197" s="10">
        <v>43394</v>
      </c>
      <c r="D197" s="14">
        <v>142031</v>
      </c>
      <c r="E197" s="18">
        <v>3.6909999999999998</v>
      </c>
      <c r="F197" s="14">
        <v>0</v>
      </c>
      <c r="G197" s="18">
        <v>1.54</v>
      </c>
      <c r="H197" s="18">
        <v>33.700000000000003</v>
      </c>
      <c r="I197" s="14">
        <v>224132</v>
      </c>
      <c r="J197" s="14">
        <v>17521.671300000002</v>
      </c>
      <c r="K197" s="2">
        <v>2444</v>
      </c>
      <c r="L197" s="18">
        <v>344.57799999999997</v>
      </c>
      <c r="M197" s="14">
        <v>4341212</v>
      </c>
      <c r="N197" s="4">
        <v>3.6</v>
      </c>
      <c r="O197" s="82"/>
      <c r="P197" s="86"/>
      <c r="Q197" s="4"/>
      <c r="R197" s="4" t="b">
        <f t="shared" ca="1" si="13"/>
        <v>0</v>
      </c>
      <c r="S197" s="4" t="b">
        <f t="shared" si="14"/>
        <v>1</v>
      </c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</row>
    <row r="198" spans="1:34" ht="15" thickBot="1" x14ac:dyDescent="0.4">
      <c r="A198" s="1" t="s">
        <v>433</v>
      </c>
      <c r="B198" s="1"/>
      <c r="C198" s="10">
        <v>43389</v>
      </c>
      <c r="D198" s="14">
        <v>116877</v>
      </c>
      <c r="E198" s="18">
        <v>5.8570000000000002</v>
      </c>
      <c r="F198" s="14">
        <v>0</v>
      </c>
      <c r="G198" s="18">
        <v>2.6040000000000001</v>
      </c>
      <c r="H198" s="18">
        <v>45.49</v>
      </c>
      <c r="I198" s="14">
        <v>171322</v>
      </c>
      <c r="J198" s="14">
        <v>5563.1745000000001</v>
      </c>
      <c r="K198" s="2">
        <v>847</v>
      </c>
      <c r="L198" s="18">
        <v>445.73399999999998</v>
      </c>
      <c r="M198" s="14">
        <v>1434807</v>
      </c>
      <c r="N198" s="4">
        <v>7.17</v>
      </c>
      <c r="O198" s="82"/>
      <c r="P198" s="86"/>
      <c r="Q198" s="4"/>
      <c r="R198" s="4" t="b">
        <f t="shared" ca="1" si="13"/>
        <v>0</v>
      </c>
      <c r="S198" s="4" t="b">
        <f t="shared" si="14"/>
        <v>1</v>
      </c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</row>
    <row r="199" spans="1:34" ht="15" thickBot="1" x14ac:dyDescent="0.4">
      <c r="A199" s="1" t="s">
        <v>284</v>
      </c>
      <c r="B199" s="1"/>
      <c r="C199" s="10">
        <v>43386</v>
      </c>
      <c r="D199" s="14">
        <v>4301</v>
      </c>
      <c r="E199" s="18">
        <v>2.7869999999999999</v>
      </c>
      <c r="F199" s="14">
        <v>0</v>
      </c>
      <c r="G199" s="18">
        <v>0.752</v>
      </c>
      <c r="H199" s="18">
        <v>28.54</v>
      </c>
      <c r="I199" s="14">
        <v>10660</v>
      </c>
      <c r="J199" s="14">
        <v>908.42449999999997</v>
      </c>
      <c r="K199" s="2">
        <v>52</v>
      </c>
      <c r="L199" s="18">
        <v>8.0060000000000002</v>
      </c>
      <c r="M199" s="14">
        <v>571611</v>
      </c>
      <c r="N199" s="4">
        <v>1.35</v>
      </c>
      <c r="O199" s="82"/>
      <c r="P199" s="86"/>
      <c r="Q199" s="4"/>
      <c r="R199" s="4" t="b">
        <f t="shared" ca="1" si="13"/>
        <v>0</v>
      </c>
      <c r="S199" s="4" t="b">
        <f t="shared" si="14"/>
        <v>0</v>
      </c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</row>
    <row r="200" spans="1:34" ht="15" thickBot="1" x14ac:dyDescent="0.4">
      <c r="A200" s="1" t="s">
        <v>435</v>
      </c>
      <c r="B200" s="1"/>
      <c r="C200" s="10">
        <v>43383</v>
      </c>
      <c r="D200" s="14">
        <v>119318</v>
      </c>
      <c r="E200" s="18">
        <v>4.5860000000000003</v>
      </c>
      <c r="F200" s="14">
        <v>0</v>
      </c>
      <c r="G200" s="18">
        <v>1.9019999999999999</v>
      </c>
      <c r="H200" s="18">
        <v>30.81</v>
      </c>
      <c r="I200" s="14">
        <v>187381</v>
      </c>
      <c r="J200" s="14">
        <v>9173.7746999999999</v>
      </c>
      <c r="K200" s="2">
        <v>1472</v>
      </c>
      <c r="L200" s="18">
        <v>356.334</v>
      </c>
      <c r="M200" s="14">
        <v>2323782</v>
      </c>
      <c r="N200" s="4">
        <v>5.73</v>
      </c>
      <c r="O200" s="82"/>
      <c r="P200" s="86"/>
      <c r="Q200" s="4"/>
      <c r="R200" s="4" t="b">
        <f t="shared" ca="1" si="13"/>
        <v>0</v>
      </c>
      <c r="S200" s="4" t="b">
        <f t="shared" si="14"/>
        <v>1</v>
      </c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</row>
    <row r="201" spans="1:34" ht="15" thickBot="1" x14ac:dyDescent="0.4">
      <c r="A201" s="1" t="s">
        <v>355</v>
      </c>
      <c r="B201" s="1"/>
      <c r="C201" s="10">
        <v>43382</v>
      </c>
      <c r="D201" s="14">
        <v>2693</v>
      </c>
      <c r="E201" s="18">
        <v>4.9939999999999998</v>
      </c>
      <c r="F201" s="14">
        <v>0</v>
      </c>
      <c r="G201" s="18">
        <v>1.5640000000000001</v>
      </c>
      <c r="H201" s="18">
        <v>65.650000000000006</v>
      </c>
      <c r="I201" s="14">
        <v>5860</v>
      </c>
      <c r="J201" s="14">
        <v>173.11699999999999</v>
      </c>
      <c r="K201" s="2">
        <v>13</v>
      </c>
      <c r="L201" s="18">
        <v>9.1560000000000006</v>
      </c>
      <c r="M201" s="14">
        <v>436850</v>
      </c>
      <c r="N201" s="4">
        <v>1.03</v>
      </c>
      <c r="O201" s="82"/>
      <c r="P201" s="86"/>
      <c r="Q201" s="4"/>
      <c r="R201" s="4" t="b">
        <f t="shared" ca="1" si="13"/>
        <v>0</v>
      </c>
      <c r="S201" s="4" t="b">
        <f t="shared" si="14"/>
        <v>0</v>
      </c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</row>
    <row r="202" spans="1:34" ht="15" thickBot="1" x14ac:dyDescent="0.4">
      <c r="A202" s="1" t="s">
        <v>358</v>
      </c>
      <c r="B202" s="1"/>
      <c r="C202" s="10">
        <v>43381</v>
      </c>
      <c r="D202" s="14">
        <v>2011</v>
      </c>
      <c r="E202" s="18">
        <v>4.7510000000000003</v>
      </c>
      <c r="F202" s="14">
        <v>0</v>
      </c>
      <c r="G202" s="18">
        <v>1.593</v>
      </c>
      <c r="H202" s="18">
        <v>37.04</v>
      </c>
      <c r="I202" s="14">
        <v>4020</v>
      </c>
      <c r="J202" s="14">
        <v>251.9264</v>
      </c>
      <c r="K202" s="2">
        <v>28</v>
      </c>
      <c r="L202" s="18">
        <v>6.3920000000000003</v>
      </c>
      <c r="M202" s="14">
        <v>430675</v>
      </c>
      <c r="N202" s="4">
        <v>0.6</v>
      </c>
      <c r="O202" s="82"/>
      <c r="P202" s="86"/>
      <c r="Q202" s="4"/>
      <c r="R202" s="4" t="b">
        <f t="shared" ca="1" si="13"/>
        <v>0</v>
      </c>
      <c r="S202" s="4" t="b">
        <f t="shared" si="14"/>
        <v>0</v>
      </c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</row>
    <row r="203" spans="1:34" ht="15" thickBot="1" x14ac:dyDescent="0.4">
      <c r="A203" s="1" t="s">
        <v>297</v>
      </c>
      <c r="B203" s="1"/>
      <c r="C203" s="10">
        <v>43377</v>
      </c>
      <c r="D203" s="14">
        <v>0</v>
      </c>
      <c r="E203" s="19"/>
      <c r="F203" s="14">
        <v>0</v>
      </c>
      <c r="G203" s="18">
        <v>0</v>
      </c>
      <c r="H203" s="18">
        <v>29.88</v>
      </c>
      <c r="I203" s="14">
        <v>11669</v>
      </c>
      <c r="J203" s="14">
        <v>573.47829999999999</v>
      </c>
      <c r="K203" s="2">
        <v>86</v>
      </c>
      <c r="L203" s="18">
        <v>0</v>
      </c>
      <c r="M203" s="14">
        <v>491156</v>
      </c>
      <c r="N203" s="4">
        <v>1.75</v>
      </c>
      <c r="O203" s="82"/>
      <c r="P203" s="86"/>
      <c r="Q203" s="4"/>
      <c r="R203" s="4" t="b">
        <f t="shared" ca="1" si="13"/>
        <v>0</v>
      </c>
      <c r="S203" s="4" t="b">
        <f t="shared" si="14"/>
        <v>0</v>
      </c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</row>
    <row r="204" spans="1:34" ht="15" thickBot="1" x14ac:dyDescent="0.4">
      <c r="A204" s="1" t="s">
        <v>336</v>
      </c>
      <c r="B204" s="1"/>
      <c r="C204" s="10">
        <v>43374</v>
      </c>
      <c r="D204" s="14">
        <v>3092</v>
      </c>
      <c r="E204" s="18">
        <v>4.5529999999999999</v>
      </c>
      <c r="F204" s="14">
        <v>0</v>
      </c>
      <c r="G204" s="18">
        <v>1.206</v>
      </c>
      <c r="H204" s="18">
        <v>37.26</v>
      </c>
      <c r="I204" s="14">
        <v>7473</v>
      </c>
      <c r="J204" s="14">
        <v>603.99760000000003</v>
      </c>
      <c r="K204" s="2">
        <v>27</v>
      </c>
      <c r="L204" s="18">
        <v>9.0030000000000001</v>
      </c>
      <c r="M204" s="14">
        <v>433432</v>
      </c>
      <c r="N204" s="4">
        <v>1.23</v>
      </c>
      <c r="O204" s="82"/>
      <c r="P204" s="86"/>
      <c r="Q204" s="4"/>
      <c r="R204" s="4" t="b">
        <f t="shared" ca="1" si="13"/>
        <v>0</v>
      </c>
      <c r="S204" s="4" t="b">
        <f t="shared" si="14"/>
        <v>0</v>
      </c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</row>
    <row r="205" spans="1:34" ht="15" thickBot="1" x14ac:dyDescent="0.4">
      <c r="A205" s="1" t="s">
        <v>55</v>
      </c>
      <c r="B205" s="1"/>
      <c r="C205" s="10">
        <v>43369</v>
      </c>
      <c r="D205" s="14">
        <v>344767</v>
      </c>
      <c r="E205" s="18">
        <v>4.1740000000000004</v>
      </c>
      <c r="F205" s="14">
        <v>0</v>
      </c>
      <c r="G205" s="18">
        <v>1.4930000000000001</v>
      </c>
      <c r="H205" s="18">
        <v>35.200000000000003</v>
      </c>
      <c r="I205" s="14">
        <v>671587</v>
      </c>
      <c r="J205" s="14">
        <v>24098.117399999999</v>
      </c>
      <c r="K205" s="2">
        <v>4283</v>
      </c>
      <c r="L205" s="18">
        <v>1002.6130000000001</v>
      </c>
      <c r="M205" s="14">
        <v>9168817</v>
      </c>
      <c r="N205" s="4">
        <v>5.07</v>
      </c>
      <c r="O205" s="82"/>
      <c r="P205" s="86"/>
      <c r="Q205" s="4"/>
      <c r="R205" s="4" t="b">
        <f t="shared" ca="1" si="13"/>
        <v>0</v>
      </c>
      <c r="S205" s="4" t="b">
        <f t="shared" si="14"/>
        <v>1</v>
      </c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</row>
    <row r="206" spans="1:34" ht="15" thickBot="1" x14ac:dyDescent="0.4">
      <c r="A206" s="1" t="s">
        <v>425</v>
      </c>
      <c r="B206" s="1"/>
      <c r="C206" s="10">
        <v>43367</v>
      </c>
      <c r="D206" s="14">
        <v>21912</v>
      </c>
      <c r="E206" s="18">
        <v>3.468</v>
      </c>
      <c r="F206" s="14">
        <v>0</v>
      </c>
      <c r="G206" s="18">
        <v>1.48</v>
      </c>
      <c r="H206" s="18">
        <v>22.32</v>
      </c>
      <c r="I206" s="14">
        <v>34361</v>
      </c>
      <c r="J206" s="14">
        <v>4296.3981000000003</v>
      </c>
      <c r="K206" s="2">
        <v>352</v>
      </c>
      <c r="L206" s="18">
        <v>50.779000000000003</v>
      </c>
      <c r="M206" s="14">
        <v>829876</v>
      </c>
      <c r="N206" s="4">
        <v>2.9</v>
      </c>
      <c r="O206" s="82"/>
      <c r="P206" s="86"/>
      <c r="Q206" s="4"/>
      <c r="R206" s="4" t="b">
        <f t="shared" ca="1" si="13"/>
        <v>0</v>
      </c>
      <c r="S206" s="4" t="b">
        <f t="shared" si="14"/>
        <v>1</v>
      </c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</row>
    <row r="207" spans="1:34" ht="15" thickBot="1" x14ac:dyDescent="0.4">
      <c r="A207" s="1" t="s">
        <v>421</v>
      </c>
      <c r="B207" s="1"/>
      <c r="C207" s="10">
        <v>43358</v>
      </c>
      <c r="D207" s="14">
        <v>170106</v>
      </c>
      <c r="E207" s="18">
        <v>3.6659999999999999</v>
      </c>
      <c r="F207" s="14">
        <v>0</v>
      </c>
      <c r="G207" s="18">
        <v>1.5860000000000001</v>
      </c>
      <c r="H207" s="18">
        <v>19.940000000000001</v>
      </c>
      <c r="I207" s="14">
        <v>256282</v>
      </c>
      <c r="J207" s="14">
        <v>28437.666000000001</v>
      </c>
      <c r="K207" s="2">
        <v>7616</v>
      </c>
      <c r="L207" s="18">
        <v>405.58499999999998</v>
      </c>
      <c r="M207" s="14">
        <v>5599635</v>
      </c>
      <c r="N207" s="4">
        <v>3.26</v>
      </c>
      <c r="O207" s="82"/>
      <c r="P207" s="86"/>
      <c r="Q207" s="4"/>
      <c r="R207" s="4" t="b">
        <f t="shared" ca="1" si="13"/>
        <v>0</v>
      </c>
      <c r="S207" s="4" t="b">
        <f t="shared" si="14"/>
        <v>1</v>
      </c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</row>
    <row r="208" spans="1:34" ht="15" thickBot="1" x14ac:dyDescent="0.4">
      <c r="A208" s="1" t="s">
        <v>406</v>
      </c>
      <c r="B208" s="1"/>
      <c r="C208" s="10">
        <v>43354</v>
      </c>
      <c r="D208" s="14">
        <v>3431</v>
      </c>
      <c r="E208" s="18">
        <v>5.2939999999999996</v>
      </c>
      <c r="F208" s="14">
        <v>0</v>
      </c>
      <c r="G208" s="18">
        <v>1.62</v>
      </c>
      <c r="H208" s="18">
        <v>21.98</v>
      </c>
      <c r="I208" s="14">
        <v>7445</v>
      </c>
      <c r="J208" s="14">
        <v>460.94170000000003</v>
      </c>
      <c r="K208" s="2">
        <v>32</v>
      </c>
      <c r="L208" s="18">
        <v>12.04</v>
      </c>
      <c r="M208" s="14">
        <v>416038</v>
      </c>
      <c r="N208" s="4">
        <v>1.32</v>
      </c>
      <c r="O208" s="82"/>
      <c r="P208" s="86"/>
      <c r="Q208" s="4"/>
      <c r="R208" s="4" t="b">
        <f t="shared" ca="1" si="13"/>
        <v>0</v>
      </c>
      <c r="S208" s="4" t="b">
        <f t="shared" si="14"/>
        <v>0</v>
      </c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</row>
    <row r="209" spans="1:34" ht="15" thickBot="1" x14ac:dyDescent="0.4">
      <c r="A209" s="1" t="s">
        <v>220</v>
      </c>
      <c r="B209" s="1"/>
      <c r="C209" s="10">
        <v>43344</v>
      </c>
      <c r="D209" s="14">
        <v>3469</v>
      </c>
      <c r="E209" s="18">
        <v>4.7519999999999998</v>
      </c>
      <c r="F209" s="14">
        <v>32</v>
      </c>
      <c r="G209" s="18">
        <v>1.111</v>
      </c>
      <c r="H209" s="18">
        <v>32.1</v>
      </c>
      <c r="I209" s="14">
        <v>9840</v>
      </c>
      <c r="J209" s="14">
        <v>431.70310000000001</v>
      </c>
      <c r="K209" s="2">
        <v>61</v>
      </c>
      <c r="L209" s="18">
        <v>10.913</v>
      </c>
      <c r="M209" s="14">
        <v>400757</v>
      </c>
      <c r="N209" s="4">
        <v>1.39</v>
      </c>
      <c r="O209" s="82"/>
      <c r="P209" s="86"/>
      <c r="Q209" s="4"/>
      <c r="R209" s="4" t="b">
        <f t="shared" ca="1" si="13"/>
        <v>0</v>
      </c>
      <c r="S209" s="4" t="b">
        <f t="shared" si="14"/>
        <v>0</v>
      </c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</row>
    <row r="210" spans="1:34" ht="15" thickBot="1" x14ac:dyDescent="0.4">
      <c r="A210" s="1" t="s">
        <v>340</v>
      </c>
      <c r="B210" s="1"/>
      <c r="C210" s="10">
        <v>43342</v>
      </c>
      <c r="D210" s="14">
        <v>2340</v>
      </c>
      <c r="E210" s="18">
        <v>4.9969999999999999</v>
      </c>
      <c r="F210" s="14">
        <v>0</v>
      </c>
      <c r="G210" s="18">
        <v>1.127</v>
      </c>
      <c r="H210" s="18">
        <v>19.21</v>
      </c>
      <c r="I210" s="14">
        <v>6860</v>
      </c>
      <c r="J210" s="14">
        <v>330.5745</v>
      </c>
      <c r="K210" s="2">
        <v>7</v>
      </c>
      <c r="L210" s="18">
        <v>7.7270000000000003</v>
      </c>
      <c r="M210" s="14">
        <v>421355</v>
      </c>
      <c r="N210" s="4">
        <v>1.1399999999999999</v>
      </c>
      <c r="O210" s="82"/>
      <c r="P210" s="86"/>
      <c r="Q210" s="4"/>
      <c r="R210" s="4" t="b">
        <f t="shared" ca="1" si="13"/>
        <v>0</v>
      </c>
      <c r="S210" s="4" t="b">
        <f t="shared" si="14"/>
        <v>0</v>
      </c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</row>
    <row r="211" spans="1:34" ht="15" thickBot="1" x14ac:dyDescent="0.4">
      <c r="A211" s="1" t="s">
        <v>156</v>
      </c>
      <c r="B211" s="1"/>
      <c r="C211" s="10">
        <v>43340</v>
      </c>
      <c r="D211" s="14">
        <v>37566</v>
      </c>
      <c r="E211" s="18">
        <v>5.3550000000000004</v>
      </c>
      <c r="F211" s="14">
        <v>490</v>
      </c>
      <c r="G211" s="18">
        <v>1.895</v>
      </c>
      <c r="H211" s="18">
        <v>36.64</v>
      </c>
      <c r="I211" s="14">
        <v>71885</v>
      </c>
      <c r="J211" s="14">
        <v>3328.6372000000001</v>
      </c>
      <c r="K211" s="2">
        <v>425</v>
      </c>
      <c r="L211" s="18">
        <v>136.13800000000001</v>
      </c>
      <c r="M211" s="14">
        <v>1198128</v>
      </c>
      <c r="N211" s="4">
        <v>4.4000000000000004</v>
      </c>
      <c r="O211" s="82"/>
      <c r="P211" s="86"/>
      <c r="Q211" s="4"/>
      <c r="R211" s="4" t="b">
        <f t="shared" ca="1" si="13"/>
        <v>0</v>
      </c>
      <c r="S211" s="4" t="b">
        <f t="shared" si="14"/>
        <v>1</v>
      </c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</row>
    <row r="212" spans="1:34" ht="15" thickBot="1" x14ac:dyDescent="0.4">
      <c r="A212" s="1" t="s">
        <v>437</v>
      </c>
      <c r="B212" s="1"/>
      <c r="C212" s="10">
        <v>43339</v>
      </c>
      <c r="D212" s="14">
        <v>3723</v>
      </c>
      <c r="E212" s="18">
        <v>4.7649999999999997</v>
      </c>
      <c r="F212" s="14">
        <v>0</v>
      </c>
      <c r="G212" s="18">
        <v>1.982</v>
      </c>
      <c r="H212" s="18">
        <v>37.590000000000003</v>
      </c>
      <c r="I212" s="14">
        <v>5968</v>
      </c>
      <c r="J212" s="14">
        <v>434.91219999999998</v>
      </c>
      <c r="K212" s="2">
        <v>73</v>
      </c>
      <c r="L212" s="18">
        <v>11.794</v>
      </c>
      <c r="M212" s="14">
        <v>400526</v>
      </c>
      <c r="N212" s="4">
        <v>0.91</v>
      </c>
      <c r="O212" s="82"/>
      <c r="P212" s="86"/>
      <c r="Q212" s="4"/>
      <c r="R212" s="4" t="b">
        <f t="shared" ca="1" si="13"/>
        <v>0</v>
      </c>
      <c r="S212" s="4" t="b">
        <f t="shared" si="14"/>
        <v>0</v>
      </c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</row>
    <row r="213" spans="1:34" ht="15" thickBot="1" x14ac:dyDescent="0.4">
      <c r="A213" s="1" t="s">
        <v>378</v>
      </c>
      <c r="B213" s="1"/>
      <c r="C213" s="10">
        <v>43336</v>
      </c>
      <c r="D213" s="14">
        <v>33121</v>
      </c>
      <c r="E213" s="18">
        <v>3.4390000000000001</v>
      </c>
      <c r="F213" s="14">
        <v>0</v>
      </c>
      <c r="G213" s="18">
        <v>1.2070000000000001</v>
      </c>
      <c r="H213" s="18">
        <v>33.11</v>
      </c>
      <c r="I213" s="14">
        <v>62718</v>
      </c>
      <c r="J213" s="14">
        <v>4823.0529999999999</v>
      </c>
      <c r="K213" s="2">
        <v>272</v>
      </c>
      <c r="L213" s="18">
        <v>75.641999999999996</v>
      </c>
      <c r="M213" s="14">
        <v>1439850</v>
      </c>
      <c r="N213" s="4">
        <v>2.87</v>
      </c>
      <c r="O213" s="82"/>
      <c r="P213" s="86"/>
      <c r="Q213" s="4"/>
      <c r="R213" s="4" t="b">
        <f t="shared" ca="1" si="13"/>
        <v>0</v>
      </c>
      <c r="S213" s="4" t="b">
        <f t="shared" si="14"/>
        <v>1</v>
      </c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</row>
    <row r="214" spans="1:34" ht="15" thickBot="1" x14ac:dyDescent="0.4">
      <c r="A214" s="1" t="s">
        <v>287</v>
      </c>
      <c r="B214" s="1"/>
      <c r="C214" s="10">
        <v>43332</v>
      </c>
      <c r="D214" s="14">
        <v>22319</v>
      </c>
      <c r="E214" s="18">
        <v>4.0060000000000002</v>
      </c>
      <c r="F214" s="14">
        <v>0</v>
      </c>
      <c r="G214" s="18">
        <v>1.482</v>
      </c>
      <c r="H214" s="18">
        <v>18.18</v>
      </c>
      <c r="I214" s="14">
        <v>39643</v>
      </c>
      <c r="J214" s="14">
        <v>3830.3139000000001</v>
      </c>
      <c r="K214" s="2">
        <v>502</v>
      </c>
      <c r="L214" s="18">
        <v>58.639000000000003</v>
      </c>
      <c r="M214" s="14">
        <v>930952</v>
      </c>
      <c r="N214" s="4">
        <v>3.07</v>
      </c>
      <c r="O214" s="82"/>
      <c r="P214" s="86"/>
      <c r="Q214" s="4"/>
      <c r="R214" s="4" t="b">
        <f t="shared" ca="1" si="13"/>
        <v>0</v>
      </c>
      <c r="S214" s="4" t="b">
        <f t="shared" si="14"/>
        <v>1</v>
      </c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</row>
    <row r="215" spans="1:34" ht="15" thickBot="1" x14ac:dyDescent="0.4">
      <c r="A215" s="1" t="s">
        <v>351</v>
      </c>
      <c r="B215" s="1"/>
      <c r="C215" s="10">
        <v>43331</v>
      </c>
      <c r="D215" s="14">
        <v>12814</v>
      </c>
      <c r="E215" s="18">
        <v>3.6459999999999999</v>
      </c>
      <c r="F215" s="14">
        <v>0</v>
      </c>
      <c r="G215" s="18">
        <v>1.2370000000000001</v>
      </c>
      <c r="H215" s="18">
        <v>26.26</v>
      </c>
      <c r="I215" s="14">
        <v>26084</v>
      </c>
      <c r="J215" s="14">
        <v>2076.1619000000001</v>
      </c>
      <c r="K215" s="2">
        <v>203</v>
      </c>
      <c r="L215" s="18">
        <v>32.231000000000002</v>
      </c>
      <c r="M215" s="14">
        <v>832234</v>
      </c>
      <c r="N215" s="4">
        <v>2.14</v>
      </c>
      <c r="O215" s="82"/>
      <c r="P215" s="86"/>
      <c r="Q215" s="4"/>
      <c r="R215" s="4" t="b">
        <f t="shared" ca="1" si="13"/>
        <v>0</v>
      </c>
      <c r="S215" s="4" t="b">
        <f t="shared" si="14"/>
        <v>1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</row>
    <row r="216" spans="1:34" ht="15" thickBot="1" x14ac:dyDescent="0.4">
      <c r="A216" s="1" t="s">
        <v>212</v>
      </c>
      <c r="B216" s="1"/>
      <c r="C216" s="10">
        <v>43327</v>
      </c>
      <c r="D216" s="14">
        <v>10662</v>
      </c>
      <c r="E216" s="18">
        <v>3.3069999999999999</v>
      </c>
      <c r="F216" s="14">
        <v>56</v>
      </c>
      <c r="G216" s="18">
        <v>1.073</v>
      </c>
      <c r="H216" s="18">
        <v>22.91</v>
      </c>
      <c r="I216" s="14">
        <v>21062</v>
      </c>
      <c r="J216" s="14">
        <v>1821.7539999999999</v>
      </c>
      <c r="K216" s="2">
        <v>98</v>
      </c>
      <c r="L216" s="18">
        <v>22.588000000000001</v>
      </c>
      <c r="M216" s="14">
        <v>528690</v>
      </c>
      <c r="N216" s="4">
        <v>2.35</v>
      </c>
      <c r="O216" s="82"/>
      <c r="P216" s="86"/>
      <c r="Q216" s="4"/>
      <c r="R216" s="4" t="b">
        <f t="shared" ca="1" si="13"/>
        <v>0</v>
      </c>
      <c r="S216" s="4" t="b">
        <f t="shared" si="14"/>
        <v>1</v>
      </c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</row>
    <row r="217" spans="1:34" ht="15" thickBot="1" x14ac:dyDescent="0.4">
      <c r="A217" s="1" t="s">
        <v>214</v>
      </c>
      <c r="B217" s="1"/>
      <c r="C217" s="10">
        <v>43325</v>
      </c>
      <c r="D217" s="14">
        <v>3911</v>
      </c>
      <c r="E217" s="18">
        <v>4.6239999999999997</v>
      </c>
      <c r="F217" s="14">
        <v>47</v>
      </c>
      <c r="G217" s="18">
        <v>1.907</v>
      </c>
      <c r="H217" s="18">
        <v>38.06</v>
      </c>
      <c r="I217" s="14">
        <v>6500</v>
      </c>
      <c r="J217" s="14">
        <v>307.84350000000001</v>
      </c>
      <c r="K217" s="2">
        <v>66</v>
      </c>
      <c r="L217" s="18">
        <v>12.363</v>
      </c>
      <c r="M217" s="14">
        <v>359681</v>
      </c>
      <c r="N217" s="4">
        <v>1.04</v>
      </c>
      <c r="O217" s="82"/>
      <c r="P217" s="86"/>
      <c r="Q217" s="4"/>
      <c r="R217" s="4" t="b">
        <f t="shared" ca="1" si="13"/>
        <v>0</v>
      </c>
      <c r="S217" s="4" t="b">
        <f t="shared" si="14"/>
        <v>0</v>
      </c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</row>
    <row r="218" spans="1:34" ht="15" thickBot="1" x14ac:dyDescent="0.4">
      <c r="A218" s="1" t="s">
        <v>298</v>
      </c>
      <c r="B218" s="1"/>
      <c r="C218" s="10">
        <v>43318</v>
      </c>
      <c r="D218" s="14">
        <v>5492</v>
      </c>
      <c r="E218" s="18">
        <v>3.5289999999999999</v>
      </c>
      <c r="F218" s="14">
        <v>0</v>
      </c>
      <c r="G218" s="18">
        <v>1.75</v>
      </c>
      <c r="H218" s="18">
        <v>23.36</v>
      </c>
      <c r="I218" s="14">
        <v>7329</v>
      </c>
      <c r="J218" s="14">
        <v>868.02930000000003</v>
      </c>
      <c r="K218" s="2">
        <v>53</v>
      </c>
      <c r="L218" s="18">
        <v>12.808</v>
      </c>
      <c r="M218" s="14">
        <v>409857</v>
      </c>
      <c r="N218" s="4">
        <v>1.19</v>
      </c>
      <c r="O218" s="82"/>
      <c r="P218" s="86"/>
      <c r="Q218" s="4"/>
      <c r="R218" s="4" t="b">
        <f t="shared" ca="1" si="13"/>
        <v>0</v>
      </c>
      <c r="S218" s="4" t="b">
        <f t="shared" si="14"/>
        <v>0</v>
      </c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</row>
    <row r="219" spans="1:34" ht="15" thickBot="1" x14ac:dyDescent="0.4">
      <c r="A219" s="1" t="s">
        <v>243</v>
      </c>
      <c r="B219" s="1"/>
      <c r="C219" s="10">
        <v>43317</v>
      </c>
      <c r="D219" s="14">
        <v>7030</v>
      </c>
      <c r="E219" s="18">
        <v>3.3380000000000001</v>
      </c>
      <c r="F219" s="14">
        <v>0</v>
      </c>
      <c r="G219" s="18">
        <v>0.42399999999999999</v>
      </c>
      <c r="H219" s="18">
        <v>34.99</v>
      </c>
      <c r="I219" s="14">
        <v>16811</v>
      </c>
      <c r="J219" s="14">
        <v>365.97590000000002</v>
      </c>
      <c r="K219" s="2">
        <v>45</v>
      </c>
      <c r="L219" s="18">
        <v>7.117</v>
      </c>
      <c r="M219" s="14">
        <v>479510</v>
      </c>
      <c r="N219" s="4">
        <v>2.76</v>
      </c>
      <c r="O219" s="82"/>
      <c r="P219" s="86"/>
      <c r="Q219" s="4"/>
      <c r="R219" s="4" t="b">
        <f t="shared" ca="1" si="13"/>
        <v>0</v>
      </c>
      <c r="S219" s="4" t="b">
        <f t="shared" si="14"/>
        <v>1</v>
      </c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</row>
    <row r="220" spans="1:34" ht="15" thickBot="1" x14ac:dyDescent="0.4">
      <c r="A220" s="1" t="s">
        <v>252</v>
      </c>
      <c r="B220" s="1"/>
      <c r="C220" s="10">
        <v>43315</v>
      </c>
      <c r="D220" s="14">
        <v>30776</v>
      </c>
      <c r="E220" s="18">
        <v>3.9510000000000001</v>
      </c>
      <c r="F220" s="14">
        <v>0</v>
      </c>
      <c r="G220" s="18">
        <v>1.476</v>
      </c>
      <c r="H220" s="18">
        <v>31.22</v>
      </c>
      <c r="I220" s="14">
        <v>57883</v>
      </c>
      <c r="J220" s="14">
        <v>6710.8977999999997</v>
      </c>
      <c r="K220" s="2">
        <v>329</v>
      </c>
      <c r="L220" s="18">
        <v>85.367000000000004</v>
      </c>
      <c r="M220" s="14">
        <v>1515446</v>
      </c>
      <c r="N220" s="4">
        <v>2.6</v>
      </c>
      <c r="O220" s="82"/>
      <c r="P220" s="86"/>
      <c r="Q220" s="4"/>
      <c r="R220" s="4" t="b">
        <f t="shared" ca="1" si="13"/>
        <v>0</v>
      </c>
      <c r="S220" s="4" t="b">
        <f t="shared" si="14"/>
        <v>1</v>
      </c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</row>
    <row r="221" spans="1:34" ht="15" thickBot="1" x14ac:dyDescent="0.4">
      <c r="A221" s="1" t="s">
        <v>259</v>
      </c>
      <c r="B221" s="1"/>
      <c r="C221" s="10">
        <v>43304</v>
      </c>
      <c r="D221" s="14">
        <v>1217</v>
      </c>
      <c r="E221" s="18">
        <v>5.5620000000000003</v>
      </c>
      <c r="F221" s="14">
        <v>0</v>
      </c>
      <c r="G221" s="18">
        <v>1.288</v>
      </c>
      <c r="H221" s="18">
        <v>31.89</v>
      </c>
      <c r="I221" s="14">
        <v>3609</v>
      </c>
      <c r="J221" s="14">
        <v>157.6317</v>
      </c>
      <c r="K221" s="2">
        <v>15</v>
      </c>
      <c r="L221" s="18">
        <v>4.6449999999999996</v>
      </c>
      <c r="M221" s="14">
        <v>320445</v>
      </c>
      <c r="N221" s="4">
        <v>0.88</v>
      </c>
      <c r="O221" s="82"/>
      <c r="P221" s="86"/>
      <c r="Q221" s="4"/>
      <c r="R221" s="4" t="b">
        <f t="shared" ca="1" si="13"/>
        <v>0</v>
      </c>
      <c r="S221" s="4" t="b">
        <f t="shared" si="14"/>
        <v>0</v>
      </c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</row>
    <row r="222" spans="1:34" ht="15" thickBot="1" x14ac:dyDescent="0.4">
      <c r="A222" s="1" t="s">
        <v>300</v>
      </c>
      <c r="B222" s="1"/>
      <c r="C222" s="10">
        <v>43295</v>
      </c>
      <c r="D222" s="14">
        <v>2276</v>
      </c>
      <c r="E222" s="18">
        <v>4.2450000000000001</v>
      </c>
      <c r="F222" s="14">
        <v>0</v>
      </c>
      <c r="G222" s="18">
        <v>1.0640000000000001</v>
      </c>
      <c r="H222" s="18">
        <v>43.91</v>
      </c>
      <c r="I222" s="14">
        <v>6426</v>
      </c>
      <c r="J222" s="14">
        <v>241.42920000000001</v>
      </c>
      <c r="K222" s="2">
        <v>18</v>
      </c>
      <c r="L222" s="18">
        <v>6.83</v>
      </c>
      <c r="M222" s="14">
        <v>505057</v>
      </c>
      <c r="N222" s="4">
        <v>0.93</v>
      </c>
      <c r="O222" s="82"/>
      <c r="P222" s="86"/>
      <c r="Q222" s="4"/>
      <c r="R222" s="4" t="b">
        <f t="shared" ca="1" si="13"/>
        <v>0</v>
      </c>
      <c r="S222" s="4" t="b">
        <f t="shared" si="14"/>
        <v>0</v>
      </c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</row>
    <row r="223" spans="1:34" ht="15" thickBot="1" x14ac:dyDescent="0.4">
      <c r="A223" s="1" t="s">
        <v>268</v>
      </c>
      <c r="B223" s="1"/>
      <c r="C223" s="10">
        <v>43290</v>
      </c>
      <c r="D223" s="14">
        <v>19914</v>
      </c>
      <c r="E223" s="18">
        <v>3.0049999999999999</v>
      </c>
      <c r="F223" s="14">
        <v>0</v>
      </c>
      <c r="G223" s="18">
        <v>1.0860000000000001</v>
      </c>
      <c r="H223" s="18">
        <v>54.94</v>
      </c>
      <c r="I223" s="14">
        <v>38470</v>
      </c>
      <c r="J223" s="14">
        <v>1767.0409999999999</v>
      </c>
      <c r="K223" s="2">
        <v>95</v>
      </c>
      <c r="L223" s="18">
        <v>41.767000000000003</v>
      </c>
      <c r="M223" s="14">
        <v>905416</v>
      </c>
      <c r="N223" s="4">
        <v>3.27</v>
      </c>
      <c r="O223" s="82"/>
      <c r="P223" s="86"/>
      <c r="Q223" s="4"/>
      <c r="R223" s="4" t="b">
        <f t="shared" ca="1" si="13"/>
        <v>0</v>
      </c>
      <c r="S223" s="4" t="b">
        <f t="shared" si="14"/>
        <v>1</v>
      </c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</row>
    <row r="224" spans="1:34" ht="15" thickBot="1" x14ac:dyDescent="0.4">
      <c r="A224" s="1" t="s">
        <v>444</v>
      </c>
      <c r="B224" s="1"/>
      <c r="C224" s="10">
        <v>43284</v>
      </c>
      <c r="D224" s="14">
        <v>33585</v>
      </c>
      <c r="E224" s="18">
        <v>2.907</v>
      </c>
      <c r="F224" s="14">
        <v>0</v>
      </c>
      <c r="G224" s="18">
        <v>0.89300000000000002</v>
      </c>
      <c r="H224" s="18">
        <v>42.32</v>
      </c>
      <c r="I224" s="14">
        <v>70833</v>
      </c>
      <c r="J224" s="14">
        <v>2215.1525999999999</v>
      </c>
      <c r="K224" s="2">
        <v>297</v>
      </c>
      <c r="L224" s="18">
        <v>63.194000000000003</v>
      </c>
      <c r="M224" s="14">
        <v>1135332</v>
      </c>
      <c r="N224" s="4">
        <v>4.6100000000000003</v>
      </c>
      <c r="O224" s="82"/>
      <c r="P224" s="86"/>
      <c r="Q224" s="4"/>
      <c r="R224" s="4" t="b">
        <f t="shared" ca="1" si="13"/>
        <v>0</v>
      </c>
      <c r="S224" s="4" t="b">
        <f t="shared" si="14"/>
        <v>1</v>
      </c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</row>
    <row r="225" spans="1:34" ht="15" thickBot="1" x14ac:dyDescent="0.4">
      <c r="A225" s="1" t="s">
        <v>219</v>
      </c>
      <c r="B225" s="1"/>
      <c r="C225" s="10">
        <v>43271</v>
      </c>
      <c r="D225" s="14">
        <v>2445</v>
      </c>
      <c r="E225" s="18">
        <v>7.3410000000000002</v>
      </c>
      <c r="F225" s="14">
        <v>35</v>
      </c>
      <c r="G225" s="18">
        <v>2.4660000000000002</v>
      </c>
      <c r="H225" s="18">
        <v>36.65</v>
      </c>
      <c r="I225" s="14">
        <v>4724</v>
      </c>
      <c r="J225" s="14">
        <v>177.9306</v>
      </c>
      <c r="K225" s="2">
        <v>8</v>
      </c>
      <c r="L225" s="18">
        <v>11.635</v>
      </c>
      <c r="M225" s="14">
        <v>313645</v>
      </c>
      <c r="N225" s="4">
        <v>0.57999999999999996</v>
      </c>
      <c r="O225" s="82"/>
      <c r="P225" s="86"/>
      <c r="Q225" s="4"/>
      <c r="R225" s="4" t="b">
        <f t="shared" ca="1" si="13"/>
        <v>0</v>
      </c>
      <c r="S225" s="4" t="b">
        <f t="shared" si="14"/>
        <v>0</v>
      </c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</row>
    <row r="226" spans="1:34" ht="15" thickBot="1" x14ac:dyDescent="0.4">
      <c r="A226" s="1" t="s">
        <v>222</v>
      </c>
      <c r="B226" s="1"/>
      <c r="C226" s="10">
        <v>43268</v>
      </c>
      <c r="D226" s="14">
        <v>1375</v>
      </c>
      <c r="E226" s="18">
        <v>5.3</v>
      </c>
      <c r="F226" s="14">
        <v>19</v>
      </c>
      <c r="G226" s="18">
        <v>1.145</v>
      </c>
      <c r="H226" s="18">
        <v>27.79</v>
      </c>
      <c r="I226" s="14">
        <v>4367</v>
      </c>
      <c r="J226" s="14">
        <v>119.9953</v>
      </c>
      <c r="K226" s="2">
        <v>12</v>
      </c>
      <c r="L226" s="18">
        <v>4.9980000000000002</v>
      </c>
      <c r="M226" s="14">
        <v>329557</v>
      </c>
      <c r="N226" s="4">
        <v>0.94</v>
      </c>
      <c r="O226" s="82"/>
      <c r="P226" s="86"/>
      <c r="Q226" s="4"/>
      <c r="R226" s="4" t="b">
        <f t="shared" ca="1" si="13"/>
        <v>0</v>
      </c>
      <c r="S226" s="4" t="b">
        <f t="shared" si="14"/>
        <v>0</v>
      </c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</row>
    <row r="227" spans="1:34" ht="15" thickBot="1" x14ac:dyDescent="0.4">
      <c r="A227" s="1" t="s">
        <v>245</v>
      </c>
      <c r="B227" s="1"/>
      <c r="C227" s="10">
        <v>43263</v>
      </c>
      <c r="D227" s="14">
        <v>4879</v>
      </c>
      <c r="E227" s="18">
        <v>5.7759999999999998</v>
      </c>
      <c r="F227" s="14">
        <v>0</v>
      </c>
      <c r="G227" s="18">
        <v>2.0059999999999998</v>
      </c>
      <c r="H227" s="18">
        <v>37.200000000000003</v>
      </c>
      <c r="I227" s="14">
        <v>14746</v>
      </c>
      <c r="J227" s="14">
        <v>6298.9530000000004</v>
      </c>
      <c r="K227" s="2">
        <v>19</v>
      </c>
      <c r="L227" s="18">
        <v>29.568000000000001</v>
      </c>
      <c r="M227" s="14">
        <v>444013</v>
      </c>
      <c r="N227" s="4">
        <v>1.72</v>
      </c>
      <c r="O227" s="82"/>
      <c r="P227" s="86"/>
      <c r="Q227" s="4"/>
      <c r="R227" s="4" t="b">
        <f t="shared" ca="1" si="13"/>
        <v>0</v>
      </c>
      <c r="S227" s="4" t="b">
        <f t="shared" si="14"/>
        <v>0</v>
      </c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</row>
    <row r="228" spans="1:34" ht="15" thickBot="1" x14ac:dyDescent="0.4">
      <c r="A228" s="1" t="s">
        <v>135</v>
      </c>
      <c r="B228" s="1"/>
      <c r="C228" s="10">
        <v>43263</v>
      </c>
      <c r="D228" s="14">
        <v>46167</v>
      </c>
      <c r="E228" s="18">
        <v>4.1230000000000002</v>
      </c>
      <c r="F228" s="14">
        <v>996</v>
      </c>
      <c r="G228" s="18">
        <v>1.5349999999999999</v>
      </c>
      <c r="H228" s="18">
        <v>43.06</v>
      </c>
      <c r="I228" s="14">
        <v>88108</v>
      </c>
      <c r="J228" s="14">
        <v>5385.0879999999997</v>
      </c>
      <c r="K228" s="2">
        <v>431</v>
      </c>
      <c r="L228" s="18">
        <v>135.16499999999999</v>
      </c>
      <c r="M228" s="14">
        <v>1712686</v>
      </c>
      <c r="N228" s="4">
        <v>3.63</v>
      </c>
      <c r="O228" s="82"/>
      <c r="P228" s="86"/>
      <c r="Q228" s="4"/>
      <c r="R228" s="4" t="b">
        <f t="shared" ca="1" si="13"/>
        <v>0</v>
      </c>
      <c r="S228" s="4" t="b">
        <f t="shared" si="14"/>
        <v>1</v>
      </c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</row>
    <row r="229" spans="1:34" ht="15" thickBot="1" x14ac:dyDescent="0.4">
      <c r="A229" s="1" t="s">
        <v>145</v>
      </c>
      <c r="B229" s="1"/>
      <c r="C229" s="10">
        <v>43260</v>
      </c>
      <c r="D229" s="14">
        <v>64537</v>
      </c>
      <c r="E229" s="18">
        <v>4.3609999999999998</v>
      </c>
      <c r="F229" s="14">
        <v>687</v>
      </c>
      <c r="G229" s="18">
        <v>2.6349999999999998</v>
      </c>
      <c r="H229" s="18">
        <v>35.880000000000003</v>
      </c>
      <c r="I229" s="14">
        <v>102831</v>
      </c>
      <c r="J229" s="14">
        <v>6170.0149000000001</v>
      </c>
      <c r="K229" s="2">
        <v>1726</v>
      </c>
      <c r="L229" s="18">
        <v>270.93099999999998</v>
      </c>
      <c r="M229" s="14">
        <v>2452942</v>
      </c>
      <c r="N229" s="4">
        <v>2.99</v>
      </c>
      <c r="O229" s="82"/>
      <c r="P229" s="86"/>
      <c r="Q229" s="4"/>
      <c r="R229" s="4" t="b">
        <f t="shared" ca="1" si="13"/>
        <v>0</v>
      </c>
      <c r="S229" s="4" t="b">
        <f t="shared" si="14"/>
        <v>1</v>
      </c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</row>
    <row r="230" spans="1:34" ht="15" thickBot="1" x14ac:dyDescent="0.4">
      <c r="A230" s="1" t="s">
        <v>363</v>
      </c>
      <c r="B230" s="1"/>
      <c r="C230" s="10">
        <v>43259</v>
      </c>
      <c r="D230" s="14">
        <v>15517</v>
      </c>
      <c r="E230" s="18">
        <v>5.4809999999999999</v>
      </c>
      <c r="F230" s="14">
        <v>0</v>
      </c>
      <c r="G230" s="18">
        <v>2.2610000000000001</v>
      </c>
      <c r="H230" s="18">
        <v>42.42</v>
      </c>
      <c r="I230" s="14">
        <v>24733</v>
      </c>
      <c r="J230" s="14">
        <v>1087.0433</v>
      </c>
      <c r="K230" s="2">
        <v>125</v>
      </c>
      <c r="L230" s="18">
        <v>55.872</v>
      </c>
      <c r="M230" s="14">
        <v>595552</v>
      </c>
      <c r="N230" s="4">
        <v>2.41</v>
      </c>
      <c r="O230" s="82"/>
      <c r="P230" s="86"/>
      <c r="Q230" s="4"/>
      <c r="R230" s="4" t="b">
        <f t="shared" ca="1" si="13"/>
        <v>0</v>
      </c>
      <c r="S230" s="4" t="b">
        <f t="shared" si="14"/>
        <v>1</v>
      </c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</row>
    <row r="231" spans="1:34" ht="15" thickBot="1" x14ac:dyDescent="0.4">
      <c r="A231" s="1" t="s">
        <v>59</v>
      </c>
      <c r="B231" s="1"/>
      <c r="C231" s="10">
        <v>43253</v>
      </c>
      <c r="D231" s="14">
        <v>1866308</v>
      </c>
      <c r="E231" s="18">
        <v>5.0490000000000004</v>
      </c>
      <c r="F231" s="14">
        <v>11934</v>
      </c>
      <c r="G231" s="18">
        <v>3.3940000000000001</v>
      </c>
      <c r="H231" s="18">
        <v>27.16</v>
      </c>
      <c r="I231" s="14">
        <v>2804794</v>
      </c>
      <c r="J231" s="14">
        <v>176929.57819999999</v>
      </c>
      <c r="K231" s="2">
        <v>23688</v>
      </c>
      <c r="L231" s="18">
        <v>9512.5589999999993</v>
      </c>
      <c r="M231" s="14">
        <v>54500918</v>
      </c>
      <c r="N231" s="4">
        <v>3.27</v>
      </c>
      <c r="O231" s="82"/>
      <c r="P231" s="86"/>
      <c r="Q231" s="4"/>
      <c r="R231" s="4" t="b">
        <f t="shared" ca="1" si="13"/>
        <v>0</v>
      </c>
      <c r="S231" s="4" t="b">
        <f t="shared" si="14"/>
        <v>1</v>
      </c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</row>
    <row r="232" spans="1:34" ht="15" thickBot="1" x14ac:dyDescent="0.4">
      <c r="A232" s="1" t="s">
        <v>367</v>
      </c>
      <c r="B232" s="1"/>
      <c r="C232" s="10">
        <v>43252</v>
      </c>
      <c r="D232" s="14">
        <v>4483</v>
      </c>
      <c r="E232" s="18">
        <v>3.669</v>
      </c>
      <c r="F232" s="14">
        <v>0</v>
      </c>
      <c r="G232" s="18">
        <v>0.82899999999999996</v>
      </c>
      <c r="H232" s="18">
        <v>27.81</v>
      </c>
      <c r="I232" s="14">
        <v>12985</v>
      </c>
      <c r="J232" s="14">
        <v>285.88080000000002</v>
      </c>
      <c r="K232" s="2">
        <v>25</v>
      </c>
      <c r="L232" s="18">
        <v>10.749000000000001</v>
      </c>
      <c r="M232" s="14">
        <v>428376</v>
      </c>
      <c r="N232" s="4">
        <v>2.2799999999999998</v>
      </c>
      <c r="O232" s="82"/>
      <c r="P232" s="86"/>
      <c r="Q232" s="4"/>
      <c r="R232" s="4" t="b">
        <f t="shared" ca="1" si="13"/>
        <v>0</v>
      </c>
      <c r="S232" s="4" t="b">
        <f t="shared" si="14"/>
        <v>0</v>
      </c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</row>
    <row r="233" spans="1:34" ht="15" thickBot="1" x14ac:dyDescent="0.4">
      <c r="A233" s="1" t="s">
        <v>365</v>
      </c>
      <c r="B233" s="1"/>
      <c r="C233" s="10">
        <v>43249</v>
      </c>
      <c r="D233" s="14">
        <v>1177</v>
      </c>
      <c r="E233" s="18">
        <v>4.9580000000000002</v>
      </c>
      <c r="F233" s="14">
        <v>0</v>
      </c>
      <c r="G233" s="18">
        <v>1.1919999999999999</v>
      </c>
      <c r="H233" s="18">
        <v>31.77</v>
      </c>
      <c r="I233" s="14">
        <v>3640</v>
      </c>
      <c r="J233" s="14">
        <v>493.02609999999999</v>
      </c>
      <c r="K233" s="2">
        <v>3</v>
      </c>
      <c r="L233" s="18">
        <v>4.335</v>
      </c>
      <c r="M233" s="14">
        <v>291214</v>
      </c>
      <c r="N233" s="4">
        <v>0.78</v>
      </c>
      <c r="O233" s="82"/>
      <c r="P233" s="86"/>
      <c r="Q233" s="4"/>
      <c r="R233" s="4" t="b">
        <f t="shared" ca="1" si="13"/>
        <v>0</v>
      </c>
      <c r="S233" s="4" t="b">
        <f t="shared" si="14"/>
        <v>0</v>
      </c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</row>
    <row r="234" spans="1:34" ht="15" thickBot="1" x14ac:dyDescent="0.4">
      <c r="A234" s="1" t="s">
        <v>293</v>
      </c>
      <c r="B234" s="1"/>
      <c r="C234" s="10">
        <v>43248</v>
      </c>
      <c r="D234" s="14">
        <v>22416</v>
      </c>
      <c r="E234" s="18">
        <v>3.86</v>
      </c>
      <c r="F234" s="14">
        <v>0</v>
      </c>
      <c r="G234" s="18">
        <v>1.361</v>
      </c>
      <c r="H234" s="18">
        <v>42.83</v>
      </c>
      <c r="I234" s="14">
        <v>44450</v>
      </c>
      <c r="J234" s="14">
        <v>2348.2004000000002</v>
      </c>
      <c r="K234" s="2">
        <v>108</v>
      </c>
      <c r="L234" s="18">
        <v>60.448999999999998</v>
      </c>
      <c r="M234" s="14">
        <v>951160</v>
      </c>
      <c r="N234" s="4">
        <v>3.33</v>
      </c>
      <c r="O234" s="82"/>
      <c r="P234" s="86"/>
      <c r="Q234" s="4"/>
      <c r="R234" s="4" t="b">
        <f t="shared" ca="1" si="13"/>
        <v>0</v>
      </c>
      <c r="S234" s="4" t="b">
        <f t="shared" si="14"/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</row>
    <row r="235" spans="1:34" ht="15" thickBot="1" x14ac:dyDescent="0.4">
      <c r="A235" s="1" t="s">
        <v>263</v>
      </c>
      <c r="B235" s="1"/>
      <c r="C235" s="10">
        <v>43244</v>
      </c>
      <c r="D235" s="14">
        <v>10851</v>
      </c>
      <c r="E235" s="18">
        <v>3.7890000000000001</v>
      </c>
      <c r="F235" s="14">
        <v>0</v>
      </c>
      <c r="G235" s="18">
        <v>1.3240000000000001</v>
      </c>
      <c r="H235" s="18">
        <v>41.87</v>
      </c>
      <c r="I235" s="14">
        <v>21196</v>
      </c>
      <c r="J235" s="14">
        <v>793.80319999999995</v>
      </c>
      <c r="K235" s="2">
        <v>215</v>
      </c>
      <c r="L235" s="18">
        <v>28.036000000000001</v>
      </c>
      <c r="M235" s="14">
        <v>561493</v>
      </c>
      <c r="N235" s="4">
        <v>2.7</v>
      </c>
      <c r="O235" s="82"/>
      <c r="P235" s="86"/>
      <c r="Q235" s="4"/>
      <c r="R235" s="4" t="b">
        <f t="shared" ca="1" si="13"/>
        <v>0</v>
      </c>
      <c r="S235" s="4" t="b">
        <f t="shared" si="14"/>
        <v>1</v>
      </c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</row>
    <row r="236" spans="1:34" ht="15" thickBot="1" x14ac:dyDescent="0.4">
      <c r="A236" s="1" t="s">
        <v>132</v>
      </c>
      <c r="B236" s="1"/>
      <c r="C236" s="10">
        <v>43241</v>
      </c>
      <c r="D236" s="14">
        <v>59126</v>
      </c>
      <c r="E236" s="18">
        <v>3.2930000000000001</v>
      </c>
      <c r="F236" s="14">
        <v>1076</v>
      </c>
      <c r="G236" s="18">
        <v>1.157</v>
      </c>
      <c r="H236" s="18">
        <v>36.799999999999997</v>
      </c>
      <c r="I236" s="14">
        <v>112407</v>
      </c>
      <c r="J236" s="14">
        <v>8285.7199000000001</v>
      </c>
      <c r="K236" s="2">
        <v>652</v>
      </c>
      <c r="L236" s="18">
        <v>129.947</v>
      </c>
      <c r="M236" s="14">
        <v>2217564</v>
      </c>
      <c r="N236" s="4">
        <v>3.69</v>
      </c>
      <c r="O236" s="82"/>
      <c r="P236" s="86"/>
      <c r="Q236" s="4"/>
      <c r="R236" s="4" t="b">
        <f t="shared" ca="1" si="13"/>
        <v>0</v>
      </c>
      <c r="S236" s="4" t="b">
        <f t="shared" si="14"/>
        <v>1</v>
      </c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</row>
    <row r="237" spans="1:34" ht="15" thickBot="1" x14ac:dyDescent="0.4">
      <c r="A237" s="1" t="s">
        <v>324</v>
      </c>
      <c r="B237" s="1"/>
      <c r="C237" s="10">
        <v>43234</v>
      </c>
      <c r="D237" s="14">
        <v>1496</v>
      </c>
      <c r="E237" s="18">
        <v>5.7089999999999996</v>
      </c>
      <c r="F237" s="14">
        <v>0</v>
      </c>
      <c r="G237" s="18">
        <v>1.1739999999999999</v>
      </c>
      <c r="H237" s="18">
        <v>21.67</v>
      </c>
      <c r="I237" s="14">
        <v>4878</v>
      </c>
      <c r="J237" s="14">
        <v>212.91069999999999</v>
      </c>
      <c r="K237" s="2">
        <v>11</v>
      </c>
      <c r="L237" s="18">
        <v>5.7240000000000002</v>
      </c>
      <c r="M237" s="14">
        <v>319615</v>
      </c>
      <c r="N237" s="4">
        <v>1.1399999999999999</v>
      </c>
      <c r="O237" s="82"/>
      <c r="P237" s="86"/>
      <c r="Q237" s="4"/>
      <c r="R237" s="4" t="b">
        <f t="shared" ca="1" si="13"/>
        <v>0</v>
      </c>
      <c r="S237" s="4" t="b">
        <f t="shared" si="14"/>
        <v>0</v>
      </c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</row>
    <row r="238" spans="1:34" ht="15" thickBot="1" x14ac:dyDescent="0.4">
      <c r="A238" s="1" t="s">
        <v>333</v>
      </c>
      <c r="B238" s="1"/>
      <c r="C238" s="10">
        <v>43227</v>
      </c>
      <c r="D238" s="14">
        <v>3946</v>
      </c>
      <c r="E238" s="18">
        <v>5.8860000000000001</v>
      </c>
      <c r="F238" s="14">
        <v>0</v>
      </c>
      <c r="G238" s="18">
        <v>2.0459999999999998</v>
      </c>
      <c r="H238" s="18">
        <v>32.659999999999997</v>
      </c>
      <c r="I238" s="14">
        <v>9834</v>
      </c>
      <c r="J238" s="14">
        <v>3123.8757000000001</v>
      </c>
      <c r="K238" s="2">
        <v>10</v>
      </c>
      <c r="L238" s="18">
        <v>20.097999999999999</v>
      </c>
      <c r="M238" s="14">
        <v>410173</v>
      </c>
      <c r="N238" s="4">
        <v>1.33</v>
      </c>
      <c r="O238" s="82"/>
      <c r="P238" s="86"/>
      <c r="Q238" s="4"/>
      <c r="R238" s="4" t="b">
        <f t="shared" ca="1" si="13"/>
        <v>0</v>
      </c>
      <c r="S238" s="4" t="b">
        <f t="shared" si="14"/>
        <v>0</v>
      </c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</row>
    <row r="239" spans="1:34" ht="15" thickBot="1" x14ac:dyDescent="0.4">
      <c r="A239" s="1" t="s">
        <v>343</v>
      </c>
      <c r="B239" s="1"/>
      <c r="C239" s="10">
        <v>43226</v>
      </c>
      <c r="D239" s="14">
        <v>1776</v>
      </c>
      <c r="E239" s="18">
        <v>3.9289999999999998</v>
      </c>
      <c r="F239" s="14">
        <v>0</v>
      </c>
      <c r="G239" s="18">
        <v>0.86899999999999999</v>
      </c>
      <c r="H239" s="18">
        <v>70.16</v>
      </c>
      <c r="I239" s="14">
        <v>4943</v>
      </c>
      <c r="J239" s="14">
        <v>66.465900000000005</v>
      </c>
      <c r="K239" s="2">
        <v>0</v>
      </c>
      <c r="L239" s="18">
        <v>4.2910000000000004</v>
      </c>
      <c r="M239" s="14">
        <v>335259</v>
      </c>
      <c r="N239" s="4">
        <v>1.01</v>
      </c>
      <c r="O239" s="82"/>
      <c r="P239" s="86"/>
      <c r="Q239" s="4"/>
      <c r="R239" s="4" t="b">
        <f t="shared" ca="1" si="13"/>
        <v>0</v>
      </c>
      <c r="S239" s="4" t="b">
        <f t="shared" si="14"/>
        <v>0</v>
      </c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</row>
    <row r="240" spans="1:34" ht="15" thickBot="1" x14ac:dyDescent="0.4">
      <c r="A240" s="1" t="s">
        <v>428</v>
      </c>
      <c r="B240" s="1"/>
      <c r="C240" s="10">
        <v>43222</v>
      </c>
      <c r="D240" s="14">
        <v>24678</v>
      </c>
      <c r="E240" s="18">
        <v>3.706</v>
      </c>
      <c r="F240" s="14">
        <v>0</v>
      </c>
      <c r="G240" s="18">
        <v>1.2909999999999999</v>
      </c>
      <c r="H240" s="18">
        <v>21.97</v>
      </c>
      <c r="I240" s="14">
        <v>48066</v>
      </c>
      <c r="J240" s="14">
        <v>4522.4922999999999</v>
      </c>
      <c r="K240" s="2">
        <v>257</v>
      </c>
      <c r="L240" s="18">
        <v>62.011000000000003</v>
      </c>
      <c r="M240" s="14">
        <v>1085707</v>
      </c>
      <c r="N240" s="4">
        <v>2.92</v>
      </c>
      <c r="O240" s="82"/>
      <c r="P240" s="86"/>
      <c r="Q240" s="4"/>
      <c r="R240" s="4" t="b">
        <f t="shared" ca="1" si="13"/>
        <v>0</v>
      </c>
      <c r="S240" s="4" t="b">
        <f t="shared" si="14"/>
        <v>1</v>
      </c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</row>
    <row r="241" spans="1:34" ht="15" thickBot="1" x14ac:dyDescent="0.4">
      <c r="A241" s="1" t="s">
        <v>366</v>
      </c>
      <c r="B241" s="1"/>
      <c r="C241" s="10">
        <v>43221</v>
      </c>
      <c r="D241" s="14">
        <v>2369</v>
      </c>
      <c r="E241" s="18">
        <v>4.5389999999999997</v>
      </c>
      <c r="F241" s="14">
        <v>0</v>
      </c>
      <c r="G241" s="18">
        <v>1.0620000000000001</v>
      </c>
      <c r="H241" s="18">
        <v>24</v>
      </c>
      <c r="I241" s="14">
        <v>8217</v>
      </c>
      <c r="J241" s="14">
        <v>1496.9934000000001</v>
      </c>
      <c r="K241" s="2">
        <v>5</v>
      </c>
      <c r="L241" s="18">
        <v>8.718</v>
      </c>
      <c r="M241" s="14">
        <v>306252</v>
      </c>
      <c r="N241" s="4">
        <v>1.28</v>
      </c>
      <c r="O241" s="82"/>
      <c r="P241" s="86"/>
      <c r="Q241" s="4"/>
      <c r="R241" s="4" t="b">
        <f t="shared" ca="1" si="13"/>
        <v>0</v>
      </c>
      <c r="S241" s="4" t="b">
        <f t="shared" si="14"/>
        <v>0</v>
      </c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</row>
    <row r="242" spans="1:34" ht="15" thickBot="1" x14ac:dyDescent="0.4">
      <c r="A242" s="1" t="s">
        <v>414</v>
      </c>
      <c r="B242" s="1"/>
      <c r="C242" s="10">
        <v>43219</v>
      </c>
      <c r="D242" s="14">
        <v>933</v>
      </c>
      <c r="E242" s="18">
        <v>4.5709999999999997</v>
      </c>
      <c r="F242" s="14">
        <v>0</v>
      </c>
      <c r="G242" s="18">
        <v>0.97199999999999998</v>
      </c>
      <c r="H242" s="18">
        <v>44.48</v>
      </c>
      <c r="I242" s="14">
        <v>2782</v>
      </c>
      <c r="J242" s="14">
        <v>51.559399999999997</v>
      </c>
      <c r="K242" s="2">
        <v>1</v>
      </c>
      <c r="L242" s="18">
        <v>2.7040000000000002</v>
      </c>
      <c r="M242" s="14">
        <v>361796</v>
      </c>
      <c r="N242" s="4">
        <v>0.57999999999999996</v>
      </c>
      <c r="O242" s="82"/>
      <c r="P242" s="86"/>
      <c r="Q242" s="4"/>
      <c r="R242" s="4" t="b">
        <f t="shared" ca="1" si="13"/>
        <v>0</v>
      </c>
      <c r="S242" s="4" t="b">
        <f t="shared" si="14"/>
        <v>0</v>
      </c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</row>
    <row r="243" spans="1:34" ht="15" thickBot="1" x14ac:dyDescent="0.4">
      <c r="A243" s="1" t="s">
        <v>149</v>
      </c>
      <c r="B243" s="1"/>
      <c r="C243" s="10">
        <v>43214</v>
      </c>
      <c r="D243" s="14">
        <v>36912</v>
      </c>
      <c r="E243" s="18">
        <v>3.8460000000000001</v>
      </c>
      <c r="F243" s="14">
        <v>581</v>
      </c>
      <c r="G243" s="18">
        <v>2.0310000000000001</v>
      </c>
      <c r="H243" s="18">
        <v>39.15</v>
      </c>
      <c r="I243" s="14">
        <v>64211</v>
      </c>
      <c r="J243" s="14">
        <v>5349.5902999999998</v>
      </c>
      <c r="K243" s="2">
        <v>145</v>
      </c>
      <c r="L243" s="18">
        <v>130.31399999999999</v>
      </c>
      <c r="M243" s="14">
        <v>1451509</v>
      </c>
      <c r="N243" s="4">
        <v>3.03</v>
      </c>
      <c r="O243" s="82"/>
      <c r="P243" s="86"/>
      <c r="Q243" s="4"/>
      <c r="R243" s="4" t="b">
        <f t="shared" ca="1" si="13"/>
        <v>0</v>
      </c>
      <c r="S243" s="4" t="b">
        <f t="shared" si="14"/>
        <v>1</v>
      </c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</row>
    <row r="244" spans="1:34" ht="15" thickBot="1" x14ac:dyDescent="0.4">
      <c r="A244" s="1" t="s">
        <v>113</v>
      </c>
      <c r="B244" s="1"/>
      <c r="C244" s="10">
        <v>43208</v>
      </c>
      <c r="D244" s="14">
        <v>75454</v>
      </c>
      <c r="E244" s="18">
        <v>3.4980000000000002</v>
      </c>
      <c r="F244" s="14">
        <v>1806</v>
      </c>
      <c r="G244" s="18">
        <v>1.258</v>
      </c>
      <c r="H244" s="18">
        <v>40.700000000000003</v>
      </c>
      <c r="I244" s="14">
        <v>142326</v>
      </c>
      <c r="J244" s="14">
        <v>8447.0439999999999</v>
      </c>
      <c r="K244" s="2">
        <v>1196</v>
      </c>
      <c r="L244" s="18">
        <v>178.87100000000001</v>
      </c>
      <c r="M244" s="14">
        <v>2538834</v>
      </c>
      <c r="N244" s="4">
        <v>3.93</v>
      </c>
      <c r="O244" s="82"/>
      <c r="P244" s="86"/>
      <c r="Q244" s="4"/>
      <c r="R244" s="4" t="b">
        <f t="shared" ca="1" si="13"/>
        <v>0</v>
      </c>
      <c r="S244" s="4" t="b">
        <f t="shared" si="14"/>
        <v>1</v>
      </c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</row>
    <row r="245" spans="1:34" ht="15" thickBot="1" x14ac:dyDescent="0.4">
      <c r="A245" s="1" t="s">
        <v>376</v>
      </c>
      <c r="B245" s="1"/>
      <c r="C245" s="10">
        <v>43206</v>
      </c>
      <c r="D245" s="14">
        <v>1566</v>
      </c>
      <c r="E245" s="18">
        <v>4.2809999999999997</v>
      </c>
      <c r="F245" s="14">
        <v>0</v>
      </c>
      <c r="G245" s="18">
        <v>0.97499999999999998</v>
      </c>
      <c r="H245" s="18">
        <v>18.510000000000002</v>
      </c>
      <c r="I245" s="14">
        <v>4648</v>
      </c>
      <c r="J245" s="14">
        <v>287.98630000000003</v>
      </c>
      <c r="K245" s="2">
        <v>6</v>
      </c>
      <c r="L245" s="18">
        <v>4.5270000000000001</v>
      </c>
      <c r="M245" s="14">
        <v>276242</v>
      </c>
      <c r="N245" s="4">
        <v>1.2</v>
      </c>
      <c r="O245" s="82"/>
      <c r="P245" s="86"/>
      <c r="Q245" s="4"/>
      <c r="R245" s="4" t="b">
        <f t="shared" ca="1" si="13"/>
        <v>0</v>
      </c>
      <c r="S245" s="4" t="b">
        <f t="shared" si="14"/>
        <v>0</v>
      </c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</row>
    <row r="246" spans="1:34" ht="15" thickBot="1" x14ac:dyDescent="0.4">
      <c r="A246" s="1" t="s">
        <v>402</v>
      </c>
      <c r="B246" s="1"/>
      <c r="C246" s="10">
        <v>43204</v>
      </c>
      <c r="D246" s="14">
        <v>50148</v>
      </c>
      <c r="E246" s="18">
        <v>3.51</v>
      </c>
      <c r="F246" s="14">
        <v>0</v>
      </c>
      <c r="G246" s="18">
        <v>1.359</v>
      </c>
      <c r="H246" s="18">
        <v>29.21</v>
      </c>
      <c r="I246" s="14">
        <v>87441</v>
      </c>
      <c r="J246" s="14">
        <v>10323.616099999999</v>
      </c>
      <c r="K246" s="2">
        <v>383</v>
      </c>
      <c r="L246" s="18">
        <v>118.663</v>
      </c>
      <c r="M246" s="14">
        <v>2556886</v>
      </c>
      <c r="N246" s="4">
        <v>2.29</v>
      </c>
      <c r="O246" s="82"/>
      <c r="P246" s="86"/>
      <c r="Q246" s="4"/>
      <c r="R246" s="4" t="b">
        <f t="shared" ca="1" si="13"/>
        <v>0</v>
      </c>
      <c r="S246" s="4" t="b">
        <f t="shared" si="14"/>
        <v>1</v>
      </c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</row>
    <row r="247" spans="1:34" ht="15" thickBot="1" x14ac:dyDescent="0.4">
      <c r="A247" s="1" t="s">
        <v>420</v>
      </c>
      <c r="B247" s="1"/>
      <c r="C247" s="10">
        <v>43202</v>
      </c>
      <c r="D247" s="14">
        <v>35896</v>
      </c>
      <c r="E247" s="18">
        <v>3.8260000000000001</v>
      </c>
      <c r="F247" s="14">
        <v>0</v>
      </c>
      <c r="G247" s="18">
        <v>1.3029999999999999</v>
      </c>
      <c r="H247" s="18">
        <v>35.78</v>
      </c>
      <c r="I247" s="14">
        <v>71258</v>
      </c>
      <c r="J247" s="14">
        <v>7818.7677999999996</v>
      </c>
      <c r="K247" s="2">
        <v>275</v>
      </c>
      <c r="L247" s="18">
        <v>92.781000000000006</v>
      </c>
      <c r="M247" s="14">
        <v>2072373</v>
      </c>
      <c r="N247" s="4">
        <v>2.33</v>
      </c>
      <c r="O247" s="82"/>
      <c r="P247" s="86"/>
      <c r="Q247" s="4"/>
      <c r="R247" s="4" t="b">
        <f t="shared" ca="1" si="13"/>
        <v>0</v>
      </c>
      <c r="S247" s="4" t="b">
        <f t="shared" si="14"/>
        <v>1</v>
      </c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</row>
    <row r="248" spans="1:34" ht="15" thickBot="1" x14ac:dyDescent="0.4">
      <c r="A248" s="1" t="s">
        <v>154</v>
      </c>
      <c r="B248" s="1"/>
      <c r="C248" s="10">
        <v>43200</v>
      </c>
      <c r="D248" s="14">
        <v>50957</v>
      </c>
      <c r="E248" s="18">
        <v>3.5270000000000001</v>
      </c>
      <c r="F248" s="14">
        <v>511</v>
      </c>
      <c r="G248" s="18">
        <v>1.236</v>
      </c>
      <c r="H248" s="18">
        <v>40.1</v>
      </c>
      <c r="I248" s="14">
        <v>96009</v>
      </c>
      <c r="J248" s="14">
        <v>4898.1947</v>
      </c>
      <c r="K248" s="2">
        <v>706</v>
      </c>
      <c r="L248" s="18">
        <v>118.59699999999999</v>
      </c>
      <c r="M248" s="14">
        <v>1504370</v>
      </c>
      <c r="N248" s="4">
        <v>4.37</v>
      </c>
      <c r="O248" s="82"/>
      <c r="P248" s="86"/>
      <c r="Q248" s="4"/>
      <c r="R248" s="4" t="b">
        <f t="shared" ca="1" si="13"/>
        <v>0</v>
      </c>
      <c r="S248" s="4" t="b">
        <f t="shared" si="14"/>
        <v>1</v>
      </c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</row>
    <row r="249" spans="1:34" ht="15" thickBot="1" x14ac:dyDescent="0.4">
      <c r="A249" s="1" t="s">
        <v>125</v>
      </c>
      <c r="B249" s="1"/>
      <c r="C249" s="10">
        <v>43199</v>
      </c>
      <c r="D249" s="14">
        <v>484789</v>
      </c>
      <c r="E249" s="18">
        <v>4.0010000000000003</v>
      </c>
      <c r="F249" s="14">
        <v>1331</v>
      </c>
      <c r="G249" s="18">
        <v>2.6869999999999998</v>
      </c>
      <c r="H249" s="18">
        <v>27.18</v>
      </c>
      <c r="I249" s="14">
        <v>684377</v>
      </c>
      <c r="J249" s="14">
        <v>81746.557799999995</v>
      </c>
      <c r="K249" s="2">
        <v>13532</v>
      </c>
      <c r="L249" s="18">
        <v>1835.221</v>
      </c>
      <c r="M249" s="14">
        <v>9220873</v>
      </c>
      <c r="N249" s="4">
        <v>4.24</v>
      </c>
      <c r="O249" s="82"/>
      <c r="P249" s="86"/>
      <c r="Q249" s="4"/>
      <c r="R249" s="4" t="b">
        <f t="shared" ca="1" si="13"/>
        <v>0</v>
      </c>
      <c r="S249" s="4" t="b">
        <f t="shared" si="14"/>
        <v>1</v>
      </c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</row>
    <row r="250" spans="1:34" ht="15" thickBot="1" x14ac:dyDescent="0.4">
      <c r="A250" s="1" t="s">
        <v>401</v>
      </c>
      <c r="B250" s="1"/>
      <c r="C250" s="10">
        <v>43195</v>
      </c>
      <c r="D250" s="14">
        <v>1723</v>
      </c>
      <c r="E250" s="18">
        <v>4.2690000000000001</v>
      </c>
      <c r="F250" s="14">
        <v>0</v>
      </c>
      <c r="G250" s="18">
        <v>1.3160000000000001</v>
      </c>
      <c r="H250" s="18">
        <v>58.52</v>
      </c>
      <c r="I250" s="14">
        <v>3693</v>
      </c>
      <c r="J250" s="14">
        <v>115.2585</v>
      </c>
      <c r="K250" s="2">
        <v>13</v>
      </c>
      <c r="L250" s="18">
        <v>4.8520000000000003</v>
      </c>
      <c r="M250" s="14">
        <v>271583</v>
      </c>
      <c r="N250" s="4">
        <v>1</v>
      </c>
      <c r="O250" s="82"/>
      <c r="P250" s="86"/>
      <c r="Q250" s="4"/>
      <c r="R250" s="4" t="b">
        <f t="shared" ca="1" si="13"/>
        <v>0</v>
      </c>
      <c r="S250" s="4" t="b">
        <f t="shared" si="14"/>
        <v>0</v>
      </c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</row>
    <row r="251" spans="1:34" ht="15" thickBot="1" x14ac:dyDescent="0.4">
      <c r="A251" s="1" t="s">
        <v>75</v>
      </c>
      <c r="B251" s="1"/>
      <c r="C251" s="10">
        <v>43194</v>
      </c>
      <c r="D251" s="14">
        <v>1295357</v>
      </c>
      <c r="E251" s="18">
        <v>4.024</v>
      </c>
      <c r="F251" s="14">
        <v>5097</v>
      </c>
      <c r="G251" s="18">
        <v>2.6970000000000001</v>
      </c>
      <c r="H251" s="18">
        <v>27.8</v>
      </c>
      <c r="I251" s="14">
        <v>1747351</v>
      </c>
      <c r="J251" s="14">
        <v>169894.77040000001</v>
      </c>
      <c r="K251" s="2">
        <v>47888</v>
      </c>
      <c r="L251" s="18">
        <v>4702.9780000000001</v>
      </c>
      <c r="M251" s="14">
        <v>35931999</v>
      </c>
      <c r="N251" s="4">
        <v>2.9</v>
      </c>
      <c r="O251" s="82"/>
      <c r="P251" s="86"/>
      <c r="Q251" s="4"/>
      <c r="R251" s="4" t="b">
        <f t="shared" ca="1" si="13"/>
        <v>0</v>
      </c>
      <c r="S251" s="4" t="b">
        <f t="shared" si="14"/>
        <v>1</v>
      </c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</row>
    <row r="252" spans="1:34" ht="15" thickBot="1" x14ac:dyDescent="0.4">
      <c r="A252" s="1" t="s">
        <v>291</v>
      </c>
      <c r="B252" s="1"/>
      <c r="C252" s="10">
        <v>43192</v>
      </c>
      <c r="D252" s="14">
        <v>26342</v>
      </c>
      <c r="E252" s="18">
        <v>3.194</v>
      </c>
      <c r="F252" s="14">
        <v>0</v>
      </c>
      <c r="G252" s="18">
        <v>1.2110000000000001</v>
      </c>
      <c r="H252" s="18">
        <v>35.450000000000003</v>
      </c>
      <c r="I252" s="14">
        <v>49261</v>
      </c>
      <c r="J252" s="14">
        <v>2536.8685999999998</v>
      </c>
      <c r="K252" s="2">
        <v>153</v>
      </c>
      <c r="L252" s="18">
        <v>59.597999999999999</v>
      </c>
      <c r="M252" s="14">
        <v>1061986</v>
      </c>
      <c r="N252" s="4">
        <v>3.53</v>
      </c>
      <c r="O252" s="82"/>
      <c r="P252" s="86"/>
      <c r="Q252" s="4"/>
      <c r="R252" s="4" t="b">
        <f t="shared" ca="1" si="13"/>
        <v>0</v>
      </c>
      <c r="S252" s="4" t="b">
        <f t="shared" si="14"/>
        <v>1</v>
      </c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</row>
    <row r="253" spans="1:34" ht="15" thickBot="1" x14ac:dyDescent="0.4">
      <c r="A253" s="1" t="s">
        <v>289</v>
      </c>
      <c r="B253" s="1"/>
      <c r="C253" s="10">
        <v>43183</v>
      </c>
      <c r="D253" s="14">
        <v>26759</v>
      </c>
      <c r="E253" s="18">
        <v>3.3540000000000001</v>
      </c>
      <c r="F253" s="14">
        <v>0</v>
      </c>
      <c r="G253" s="18">
        <v>1.339</v>
      </c>
      <c r="H253" s="18">
        <v>25.07</v>
      </c>
      <c r="I253" s="14">
        <v>43836</v>
      </c>
      <c r="J253" s="14">
        <v>3022.0547999999999</v>
      </c>
      <c r="K253" s="2">
        <v>173</v>
      </c>
      <c r="L253" s="18">
        <v>58.686</v>
      </c>
      <c r="M253" s="14">
        <v>1045011</v>
      </c>
      <c r="N253" s="4">
        <v>2.93</v>
      </c>
      <c r="O253" s="82"/>
      <c r="P253" s="86"/>
      <c r="Q253" s="4"/>
      <c r="R253" s="4" t="b">
        <f t="shared" ca="1" si="13"/>
        <v>0</v>
      </c>
      <c r="S253" s="4" t="b">
        <f t="shared" si="14"/>
        <v>1</v>
      </c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</row>
    <row r="254" spans="1:34" ht="15" thickBot="1" x14ac:dyDescent="0.4">
      <c r="A254" s="1" t="s">
        <v>354</v>
      </c>
      <c r="B254" s="1"/>
      <c r="C254" s="10">
        <v>43180</v>
      </c>
      <c r="D254" s="14">
        <v>2703</v>
      </c>
      <c r="E254" s="18">
        <v>4.0679999999999996</v>
      </c>
      <c r="F254" s="14">
        <v>0</v>
      </c>
      <c r="G254" s="18">
        <v>1.04</v>
      </c>
      <c r="H254" s="18">
        <v>22.52</v>
      </c>
      <c r="I254" s="14">
        <v>6985</v>
      </c>
      <c r="J254" s="14">
        <v>426.55829999999997</v>
      </c>
      <c r="K254" s="2">
        <v>43</v>
      </c>
      <c r="L254" s="18">
        <v>7.2560000000000002</v>
      </c>
      <c r="M254" s="14">
        <v>256672</v>
      </c>
      <c r="N254" s="4">
        <v>1.9</v>
      </c>
      <c r="O254" s="82"/>
      <c r="P254" s="86"/>
      <c r="Q254" s="4"/>
      <c r="R254" s="4" t="b">
        <f t="shared" ca="1" si="13"/>
        <v>0</v>
      </c>
      <c r="S254" s="4" t="b">
        <f t="shared" si="14"/>
        <v>0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</row>
    <row r="255" spans="1:34" ht="15" thickBot="1" x14ac:dyDescent="0.4">
      <c r="A255" s="1" t="s">
        <v>231</v>
      </c>
      <c r="B255" s="1"/>
      <c r="C255" s="10">
        <v>43173</v>
      </c>
      <c r="D255" s="14">
        <v>57675</v>
      </c>
      <c r="E255" s="18">
        <v>3.4630000000000001</v>
      </c>
      <c r="F255" s="14">
        <v>0</v>
      </c>
      <c r="G255" s="18">
        <v>1.643</v>
      </c>
      <c r="H255" s="18">
        <v>43.32</v>
      </c>
      <c r="I255" s="14">
        <v>77828</v>
      </c>
      <c r="J255" s="14">
        <v>6069.1223</v>
      </c>
      <c r="K255" s="2">
        <v>1576</v>
      </c>
      <c r="L255" s="18">
        <v>127.684</v>
      </c>
      <c r="M255" s="14">
        <v>2108498</v>
      </c>
      <c r="N255" s="4">
        <v>2.71</v>
      </c>
      <c r="O255" s="82"/>
      <c r="P255" s="86"/>
      <c r="Q255" s="4"/>
      <c r="R255" s="4" t="b">
        <f t="shared" ca="1" si="13"/>
        <v>0</v>
      </c>
      <c r="S255" s="4" t="b">
        <f t="shared" si="14"/>
        <v>1</v>
      </c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</row>
    <row r="256" spans="1:34" ht="15" thickBot="1" x14ac:dyDescent="0.4">
      <c r="A256" s="1" t="s">
        <v>423</v>
      </c>
      <c r="B256" s="1"/>
      <c r="C256" s="10">
        <v>43169</v>
      </c>
      <c r="D256" s="14">
        <v>3226</v>
      </c>
      <c r="E256" s="18">
        <v>4.3940000000000001</v>
      </c>
      <c r="F256" s="14">
        <v>0</v>
      </c>
      <c r="G256" s="18">
        <v>1.3919999999999999</v>
      </c>
      <c r="H256" s="18">
        <v>49.84</v>
      </c>
      <c r="I256" s="14">
        <v>7045</v>
      </c>
      <c r="J256" s="14">
        <v>336.48250000000002</v>
      </c>
      <c r="K256" s="2">
        <v>25</v>
      </c>
      <c r="L256" s="18">
        <v>9.7880000000000003</v>
      </c>
      <c r="M256" s="14">
        <v>318321</v>
      </c>
      <c r="N256" s="4">
        <v>1.55</v>
      </c>
      <c r="O256" s="82"/>
      <c r="P256" s="86"/>
      <c r="Q256" s="4"/>
      <c r="R256" s="4" t="b">
        <f t="shared" ca="1" si="13"/>
        <v>0</v>
      </c>
      <c r="S256" s="4" t="b">
        <f t="shared" si="14"/>
        <v>0</v>
      </c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</row>
    <row r="257" spans="1:34" ht="15" thickBot="1" x14ac:dyDescent="0.4">
      <c r="A257" s="1" t="s">
        <v>224</v>
      </c>
      <c r="B257" s="1"/>
      <c r="C257" s="10">
        <v>43166</v>
      </c>
      <c r="D257" s="14">
        <v>2209</v>
      </c>
      <c r="E257" s="18">
        <v>5.1420000000000003</v>
      </c>
      <c r="F257" s="14">
        <v>11</v>
      </c>
      <c r="G257" s="18">
        <v>1.2230000000000001</v>
      </c>
      <c r="H257" s="18">
        <v>20.73</v>
      </c>
      <c r="I257" s="14">
        <v>6211</v>
      </c>
      <c r="J257" s="14">
        <v>380.56529999999998</v>
      </c>
      <c r="K257" s="2">
        <v>5</v>
      </c>
      <c r="L257" s="18">
        <v>7.5919999999999996</v>
      </c>
      <c r="M257" s="14">
        <v>275806</v>
      </c>
      <c r="N257" s="4">
        <v>1.69</v>
      </c>
      <c r="O257" s="82"/>
      <c r="P257" s="86"/>
      <c r="Q257" s="4"/>
      <c r="R257" s="4" t="b">
        <f t="shared" ca="1" si="13"/>
        <v>0</v>
      </c>
      <c r="S257" s="4" t="b">
        <f t="shared" si="14"/>
        <v>0</v>
      </c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</row>
    <row r="258" spans="1:34" ht="15" thickBot="1" x14ac:dyDescent="0.4">
      <c r="A258" s="1" t="s">
        <v>261</v>
      </c>
      <c r="B258" s="1"/>
      <c r="C258" s="10">
        <v>43162</v>
      </c>
      <c r="D258" s="14">
        <v>2220</v>
      </c>
      <c r="E258" s="18">
        <v>4.2809999999999997</v>
      </c>
      <c r="F258" s="14">
        <v>0</v>
      </c>
      <c r="G258" s="18">
        <v>1.159</v>
      </c>
      <c r="H258" s="18">
        <v>53.11</v>
      </c>
      <c r="I258" s="14">
        <v>5586</v>
      </c>
      <c r="J258" s="14">
        <v>201.0926</v>
      </c>
      <c r="K258" s="2">
        <v>10</v>
      </c>
      <c r="L258" s="18">
        <v>6.4610000000000003</v>
      </c>
      <c r="M258" s="14">
        <v>272461</v>
      </c>
      <c r="N258" s="4">
        <v>1.51</v>
      </c>
      <c r="O258" s="82"/>
      <c r="P258" s="86"/>
      <c r="Q258" s="4"/>
      <c r="R258" s="4" t="b">
        <f t="shared" ref="R258:R321" ca="1" si="15">IF(DATEDIF(C258,TODAY(),"d")&gt;365,FALSE, TRUE)</f>
        <v>0</v>
      </c>
      <c r="S258" s="4" t="b">
        <f t="shared" ref="S258:S321" si="16">IF(I258&lt;15000,FALSE, TRUE)</f>
        <v>0</v>
      </c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</row>
    <row r="259" spans="1:34" ht="15" thickBot="1" x14ac:dyDescent="0.4">
      <c r="A259" s="1" t="s">
        <v>202</v>
      </c>
      <c r="B259" s="1"/>
      <c r="C259" s="10">
        <v>43155</v>
      </c>
      <c r="D259" s="14">
        <v>10409</v>
      </c>
      <c r="E259" s="18">
        <v>3.8919999999999999</v>
      </c>
      <c r="F259" s="14">
        <v>95</v>
      </c>
      <c r="G259" s="18">
        <v>1.3109999999999999</v>
      </c>
      <c r="H259" s="18">
        <v>36.51</v>
      </c>
      <c r="I259" s="14">
        <v>20482</v>
      </c>
      <c r="J259" s="14">
        <v>1537.2944</v>
      </c>
      <c r="K259" s="2">
        <v>106</v>
      </c>
      <c r="L259" s="18">
        <v>26.815000000000001</v>
      </c>
      <c r="M259" s="14">
        <v>562265</v>
      </c>
      <c r="N259" s="4">
        <v>2.56</v>
      </c>
      <c r="O259" s="82"/>
      <c r="P259" s="86"/>
      <c r="Q259" s="4"/>
      <c r="R259" s="4" t="b">
        <f t="shared" ca="1" si="15"/>
        <v>0</v>
      </c>
      <c r="S259" s="4" t="b">
        <f t="shared" si="16"/>
        <v>1</v>
      </c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</row>
    <row r="260" spans="1:34" ht="15" thickBot="1" x14ac:dyDescent="0.4">
      <c r="A260" s="1" t="s">
        <v>221</v>
      </c>
      <c r="B260" s="1"/>
      <c r="C260" s="10">
        <v>43152</v>
      </c>
      <c r="D260" s="14">
        <v>706</v>
      </c>
      <c r="E260" s="18">
        <v>4.33</v>
      </c>
      <c r="F260" s="14">
        <v>19</v>
      </c>
      <c r="G260" s="18">
        <v>0.75</v>
      </c>
      <c r="H260" s="18">
        <v>38.42</v>
      </c>
      <c r="I260" s="14">
        <v>2438</v>
      </c>
      <c r="J260" s="14">
        <v>41.888199999999998</v>
      </c>
      <c r="K260" s="2">
        <v>1</v>
      </c>
      <c r="L260" s="18">
        <v>1.829</v>
      </c>
      <c r="M260" s="14">
        <v>278881</v>
      </c>
      <c r="N260" s="4">
        <v>0.5</v>
      </c>
      <c r="O260" s="82"/>
      <c r="P260" s="86"/>
      <c r="Q260" s="4"/>
      <c r="R260" s="4" t="b">
        <f t="shared" ca="1" si="15"/>
        <v>0</v>
      </c>
      <c r="S260" s="4" t="b">
        <f t="shared" si="16"/>
        <v>0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</row>
    <row r="261" spans="1:34" ht="15" thickBot="1" x14ac:dyDescent="0.4">
      <c r="A261" s="1" t="s">
        <v>316</v>
      </c>
      <c r="B261" s="1"/>
      <c r="C261" s="10">
        <v>43148</v>
      </c>
      <c r="D261" s="14">
        <v>4437</v>
      </c>
      <c r="E261" s="18">
        <v>3.39</v>
      </c>
      <c r="F261" s="14">
        <v>0</v>
      </c>
      <c r="G261" s="18">
        <v>1.2350000000000001</v>
      </c>
      <c r="H261" s="18">
        <v>25.64</v>
      </c>
      <c r="I261" s="14">
        <v>7839</v>
      </c>
      <c r="J261" s="14">
        <v>630.92719999999997</v>
      </c>
      <c r="K261" s="2">
        <v>23</v>
      </c>
      <c r="L261" s="18">
        <v>9.6649999999999991</v>
      </c>
      <c r="M261" s="14">
        <v>300785</v>
      </c>
      <c r="N261" s="4">
        <v>1.9</v>
      </c>
      <c r="O261" s="82"/>
      <c r="P261" s="86"/>
      <c r="Q261" s="4"/>
      <c r="R261" s="4" t="b">
        <f t="shared" ca="1" si="15"/>
        <v>0</v>
      </c>
      <c r="S261" s="4" t="b">
        <f t="shared" si="16"/>
        <v>0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</row>
    <row r="262" spans="1:34" ht="15" thickBot="1" x14ac:dyDescent="0.4">
      <c r="A262" s="1" t="s">
        <v>227</v>
      </c>
      <c r="B262" s="1"/>
      <c r="C262" s="10">
        <v>43145</v>
      </c>
      <c r="D262" s="14">
        <v>2289</v>
      </c>
      <c r="E262" s="18">
        <v>5.0490000000000004</v>
      </c>
      <c r="F262" s="14">
        <v>6</v>
      </c>
      <c r="G262" s="18">
        <v>1.149</v>
      </c>
      <c r="H262" s="18">
        <v>22.38</v>
      </c>
      <c r="I262" s="14">
        <v>6538</v>
      </c>
      <c r="J262" s="14">
        <v>303.25319999999999</v>
      </c>
      <c r="K262" s="2">
        <v>15</v>
      </c>
      <c r="L262" s="18">
        <v>7.5049999999999999</v>
      </c>
      <c r="M262" s="14">
        <v>239045</v>
      </c>
      <c r="N262" s="4">
        <v>1.91</v>
      </c>
      <c r="O262" s="82"/>
      <c r="P262" s="86"/>
      <c r="Q262" s="4"/>
      <c r="R262" s="4" t="b">
        <f t="shared" ca="1" si="15"/>
        <v>0</v>
      </c>
      <c r="S262" s="4" t="b">
        <f t="shared" si="16"/>
        <v>0</v>
      </c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</row>
    <row r="263" spans="1:34" ht="15" thickBot="1" x14ac:dyDescent="0.4">
      <c r="A263" s="1" t="s">
        <v>205</v>
      </c>
      <c r="B263" s="1"/>
      <c r="C263" s="10">
        <v>43141</v>
      </c>
      <c r="D263" s="14">
        <v>1151</v>
      </c>
      <c r="E263" s="18">
        <v>4.3860000000000001</v>
      </c>
      <c r="F263" s="14">
        <v>76</v>
      </c>
      <c r="G263" s="18">
        <v>0.93500000000000005</v>
      </c>
      <c r="H263" s="18">
        <v>57.71</v>
      </c>
      <c r="I263" s="14">
        <v>3382</v>
      </c>
      <c r="J263" s="14">
        <v>84.571200000000005</v>
      </c>
      <c r="K263" s="2">
        <v>12</v>
      </c>
      <c r="L263" s="18">
        <v>3.1549999999999998</v>
      </c>
      <c r="M263" s="14">
        <v>243219</v>
      </c>
      <c r="N263" s="4">
        <v>1.02</v>
      </c>
      <c r="O263" s="82"/>
      <c r="P263" s="86"/>
      <c r="Q263" s="4"/>
      <c r="R263" s="4" t="b">
        <f t="shared" ca="1" si="15"/>
        <v>0</v>
      </c>
      <c r="S263" s="4" t="b">
        <f t="shared" si="16"/>
        <v>0</v>
      </c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</row>
    <row r="264" spans="1:34" ht="15" thickBot="1" x14ac:dyDescent="0.4">
      <c r="A264" s="1" t="s">
        <v>215</v>
      </c>
      <c r="B264" s="1"/>
      <c r="C264" s="10">
        <v>43131</v>
      </c>
      <c r="D264" s="14">
        <v>1866</v>
      </c>
      <c r="E264" s="18">
        <v>4.7629999999999999</v>
      </c>
      <c r="F264" s="14">
        <v>45</v>
      </c>
      <c r="G264" s="18">
        <v>1.19</v>
      </c>
      <c r="H264" s="18">
        <v>36.51</v>
      </c>
      <c r="I264" s="14">
        <v>5039</v>
      </c>
      <c r="J264" s="14">
        <v>185.51669999999999</v>
      </c>
      <c r="K264" s="2">
        <v>8</v>
      </c>
      <c r="L264" s="18">
        <v>5.9909999999999997</v>
      </c>
      <c r="M264" s="14">
        <v>246375</v>
      </c>
      <c r="N264" s="4">
        <v>1.36</v>
      </c>
      <c r="O264" s="82"/>
      <c r="P264" s="86"/>
      <c r="Q264" s="4"/>
      <c r="R264" s="4" t="b">
        <f t="shared" ca="1" si="15"/>
        <v>0</v>
      </c>
      <c r="S264" s="4" t="b">
        <f t="shared" si="16"/>
        <v>0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</row>
    <row r="265" spans="1:34" ht="15" thickBot="1" x14ac:dyDescent="0.4">
      <c r="A265" s="1" t="s">
        <v>211</v>
      </c>
      <c r="B265" s="1"/>
      <c r="C265" s="10">
        <v>43127</v>
      </c>
      <c r="D265" s="14">
        <v>13606</v>
      </c>
      <c r="E265" s="18">
        <v>5.7910000000000004</v>
      </c>
      <c r="F265" s="14">
        <v>57</v>
      </c>
      <c r="G265" s="18">
        <v>1.9370000000000001</v>
      </c>
      <c r="H265" s="18">
        <v>26.12</v>
      </c>
      <c r="I265" s="14">
        <v>26127</v>
      </c>
      <c r="J265" s="14">
        <v>3200.2420000000002</v>
      </c>
      <c r="K265" s="2">
        <v>163</v>
      </c>
      <c r="L265" s="18">
        <v>50.476999999999997</v>
      </c>
      <c r="M265" s="14">
        <v>470347</v>
      </c>
      <c r="N265" s="4">
        <v>2.44</v>
      </c>
      <c r="O265" s="82"/>
      <c r="P265" s="86"/>
      <c r="Q265" s="4"/>
      <c r="R265" s="4" t="b">
        <f t="shared" ca="1" si="15"/>
        <v>0</v>
      </c>
      <c r="S265" s="4" t="b">
        <f t="shared" si="16"/>
        <v>1</v>
      </c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</row>
    <row r="266" spans="1:34" ht="15" thickBot="1" x14ac:dyDescent="0.4">
      <c r="A266" s="1" t="s">
        <v>413</v>
      </c>
      <c r="B266" s="1"/>
      <c r="C266" s="10">
        <v>43120</v>
      </c>
      <c r="D266" s="14">
        <v>1495</v>
      </c>
      <c r="E266" s="18">
        <v>4.5839999999999996</v>
      </c>
      <c r="F266" s="14">
        <v>0</v>
      </c>
      <c r="G266" s="18">
        <v>1.1919999999999999</v>
      </c>
      <c r="H266" s="18">
        <v>54.45</v>
      </c>
      <c r="I266" s="14">
        <v>3852</v>
      </c>
      <c r="J266" s="14">
        <v>131.6808</v>
      </c>
      <c r="K266" s="2">
        <v>2</v>
      </c>
      <c r="L266" s="18">
        <v>4.5880000000000001</v>
      </c>
      <c r="M266" s="14">
        <v>238467</v>
      </c>
      <c r="N266" s="4">
        <v>1.1499999999999999</v>
      </c>
      <c r="O266" s="82"/>
      <c r="P266" s="86"/>
      <c r="Q266" s="4"/>
      <c r="R266" s="4" t="b">
        <f t="shared" ca="1" si="15"/>
        <v>0</v>
      </c>
      <c r="S266" s="4" t="b">
        <f t="shared" si="16"/>
        <v>0</v>
      </c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</row>
    <row r="267" spans="1:34" ht="15" thickBot="1" x14ac:dyDescent="0.4">
      <c r="A267" s="1" t="s">
        <v>422</v>
      </c>
      <c r="B267" s="1"/>
      <c r="C267" s="10">
        <v>43117</v>
      </c>
      <c r="D267" s="14">
        <v>1211</v>
      </c>
      <c r="E267" s="18">
        <v>4.3869999999999996</v>
      </c>
      <c r="F267" s="14">
        <v>0</v>
      </c>
      <c r="G267" s="18">
        <v>0.23300000000000001</v>
      </c>
      <c r="H267" s="18">
        <v>24.32</v>
      </c>
      <c r="I267" s="14">
        <v>16597</v>
      </c>
      <c r="J267" s="14">
        <v>1803.83</v>
      </c>
      <c r="K267" s="2">
        <v>88</v>
      </c>
      <c r="L267" s="18">
        <v>3.851</v>
      </c>
      <c r="M267" s="14">
        <v>433334</v>
      </c>
      <c r="N267" s="4">
        <v>2.5</v>
      </c>
      <c r="O267" s="82"/>
      <c r="P267" s="86"/>
      <c r="Q267" s="4"/>
      <c r="R267" s="4" t="b">
        <f t="shared" ca="1" si="15"/>
        <v>0</v>
      </c>
      <c r="S267" s="4" t="b">
        <f t="shared" si="16"/>
        <v>1</v>
      </c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</row>
    <row r="268" spans="1:34" ht="15" thickBot="1" x14ac:dyDescent="0.4">
      <c r="A268" s="1" t="s">
        <v>443</v>
      </c>
      <c r="B268" s="1"/>
      <c r="C268" s="10">
        <v>43113</v>
      </c>
      <c r="D268" s="14">
        <v>69115</v>
      </c>
      <c r="E268" s="18">
        <v>3.9980000000000002</v>
      </c>
      <c r="F268" s="14">
        <v>0</v>
      </c>
      <c r="G268" s="18">
        <v>1.391</v>
      </c>
      <c r="H268" s="18">
        <v>37.24</v>
      </c>
      <c r="I268" s="14">
        <v>131300</v>
      </c>
      <c r="J268" s="14">
        <v>4414.6514999999999</v>
      </c>
      <c r="K268" s="2">
        <v>705</v>
      </c>
      <c r="L268" s="18">
        <v>182.42699999999999</v>
      </c>
      <c r="M268" s="14">
        <v>2290266</v>
      </c>
      <c r="N268" s="4">
        <v>4.25</v>
      </c>
      <c r="O268" s="82"/>
      <c r="P268" s="86"/>
      <c r="Q268" s="4"/>
      <c r="R268" s="4" t="b">
        <f t="shared" ca="1" si="15"/>
        <v>0</v>
      </c>
      <c r="S268" s="4" t="b">
        <f t="shared" si="16"/>
        <v>1</v>
      </c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</row>
    <row r="269" spans="1:34" ht="15" thickBot="1" x14ac:dyDescent="0.4">
      <c r="A269" s="1" t="s">
        <v>173</v>
      </c>
      <c r="B269" s="1"/>
      <c r="C269" s="10">
        <v>43110</v>
      </c>
      <c r="D269" s="14">
        <v>22181</v>
      </c>
      <c r="E269" s="18">
        <v>4.8879999999999999</v>
      </c>
      <c r="F269" s="14">
        <v>287</v>
      </c>
      <c r="G269" s="18">
        <v>1.454</v>
      </c>
      <c r="H269" s="18">
        <v>36</v>
      </c>
      <c r="I269" s="14">
        <v>47309</v>
      </c>
      <c r="J269" s="14">
        <v>5005.6585999999998</v>
      </c>
      <c r="K269" s="2">
        <v>453</v>
      </c>
      <c r="L269" s="18">
        <v>68.628</v>
      </c>
      <c r="M269" s="14">
        <v>929789</v>
      </c>
      <c r="N269" s="4">
        <v>2.88</v>
      </c>
      <c r="O269" s="82"/>
      <c r="P269" s="86"/>
      <c r="Q269" s="4"/>
      <c r="R269" s="4" t="b">
        <f t="shared" ca="1" si="15"/>
        <v>0</v>
      </c>
      <c r="S269" s="4" t="b">
        <f t="shared" si="16"/>
        <v>1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</row>
    <row r="270" spans="1:34" ht="15" thickBot="1" x14ac:dyDescent="0.4">
      <c r="A270" s="1" t="s">
        <v>195</v>
      </c>
      <c r="B270" s="1"/>
      <c r="C270" s="10">
        <v>43106</v>
      </c>
      <c r="D270" s="14">
        <v>2962</v>
      </c>
      <c r="E270" s="18">
        <v>3.4209999999999998</v>
      </c>
      <c r="F270" s="14">
        <v>116</v>
      </c>
      <c r="G270" s="18">
        <v>0.89200000000000002</v>
      </c>
      <c r="H270" s="18">
        <v>52.4</v>
      </c>
      <c r="I270" s="14">
        <v>7311</v>
      </c>
      <c r="J270" s="14">
        <v>287.34960000000001</v>
      </c>
      <c r="K270" s="2">
        <v>18</v>
      </c>
      <c r="L270" s="18">
        <v>6.516</v>
      </c>
      <c r="M270" s="14">
        <v>274219</v>
      </c>
      <c r="N270" s="4">
        <v>1.96</v>
      </c>
      <c r="O270" s="82"/>
      <c r="P270" s="86"/>
      <c r="Q270" s="4"/>
      <c r="R270" s="4" t="b">
        <f t="shared" ca="1" si="15"/>
        <v>0</v>
      </c>
      <c r="S270" s="4" t="b">
        <f t="shared" si="16"/>
        <v>0</v>
      </c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</row>
    <row r="271" spans="1:34" ht="15" thickBot="1" x14ac:dyDescent="0.4">
      <c r="A271" s="1" t="s">
        <v>190</v>
      </c>
      <c r="B271" s="1"/>
      <c r="C271" s="10">
        <v>43103</v>
      </c>
      <c r="D271" s="14">
        <v>2376</v>
      </c>
      <c r="E271" s="18">
        <v>4.42</v>
      </c>
      <c r="F271" s="14">
        <v>155</v>
      </c>
      <c r="G271" s="18">
        <v>1.22</v>
      </c>
      <c r="H271" s="18">
        <v>49.46</v>
      </c>
      <c r="I271" s="14">
        <v>5636</v>
      </c>
      <c r="J271" s="14">
        <v>174.98179999999999</v>
      </c>
      <c r="K271" s="2">
        <v>18</v>
      </c>
      <c r="L271" s="18">
        <v>6.8570000000000002</v>
      </c>
      <c r="M271" s="14">
        <v>247753</v>
      </c>
      <c r="N271" s="4">
        <v>1.49</v>
      </c>
      <c r="O271" s="82"/>
      <c r="P271" s="86"/>
      <c r="Q271" s="4"/>
      <c r="R271" s="4" t="b">
        <f t="shared" ca="1" si="15"/>
        <v>0</v>
      </c>
      <c r="S271" s="4" t="b">
        <f t="shared" si="16"/>
        <v>0</v>
      </c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</row>
    <row r="272" spans="1:34" ht="15" thickBot="1" x14ac:dyDescent="0.4">
      <c r="A272" s="1" t="s">
        <v>188</v>
      </c>
      <c r="B272" s="1"/>
      <c r="C272" s="10">
        <v>43093</v>
      </c>
      <c r="D272" s="14">
        <v>2491</v>
      </c>
      <c r="E272" s="18">
        <v>3.9060000000000001</v>
      </c>
      <c r="F272" s="14">
        <v>165</v>
      </c>
      <c r="G272" s="18">
        <v>1.026</v>
      </c>
      <c r="H272" s="18">
        <v>57.32</v>
      </c>
      <c r="I272" s="14">
        <v>6320</v>
      </c>
      <c r="J272" s="14">
        <v>256.60550000000001</v>
      </c>
      <c r="K272" s="2">
        <v>12</v>
      </c>
      <c r="L272" s="18">
        <v>6.4720000000000004</v>
      </c>
      <c r="M272" s="14">
        <v>271910</v>
      </c>
      <c r="N272" s="4">
        <v>1.65</v>
      </c>
      <c r="O272" s="82"/>
      <c r="P272" s="86"/>
      <c r="Q272" s="4"/>
      <c r="R272" s="4" t="b">
        <f t="shared" ca="1" si="15"/>
        <v>0</v>
      </c>
      <c r="S272" s="4" t="b">
        <f t="shared" si="16"/>
        <v>0</v>
      </c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</row>
    <row r="273" spans="1:34" ht="15" thickBot="1" x14ac:dyDescent="0.4">
      <c r="A273" s="1" t="s">
        <v>176</v>
      </c>
      <c r="B273" s="1"/>
      <c r="C273" s="10">
        <v>43092</v>
      </c>
      <c r="D273" s="14">
        <v>3959</v>
      </c>
      <c r="E273" s="18">
        <v>4.0010000000000003</v>
      </c>
      <c r="F273" s="14">
        <v>266</v>
      </c>
      <c r="G273" s="18">
        <v>1.19</v>
      </c>
      <c r="H273" s="18">
        <v>44.81</v>
      </c>
      <c r="I273" s="14">
        <v>9003</v>
      </c>
      <c r="J273" s="14">
        <v>344.01769999999999</v>
      </c>
      <c r="K273" s="2">
        <v>8</v>
      </c>
      <c r="L273" s="18">
        <v>10.688000000000001</v>
      </c>
      <c r="M273" s="14">
        <v>273402</v>
      </c>
      <c r="N273" s="4">
        <v>2.36</v>
      </c>
      <c r="O273" s="82"/>
      <c r="P273" s="86"/>
      <c r="Q273" s="4"/>
      <c r="R273" s="4" t="b">
        <f t="shared" ca="1" si="15"/>
        <v>0</v>
      </c>
      <c r="S273" s="4" t="b">
        <f t="shared" si="16"/>
        <v>0</v>
      </c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</row>
    <row r="274" spans="1:34" ht="15" thickBot="1" x14ac:dyDescent="0.4">
      <c r="A274" s="1" t="s">
        <v>204</v>
      </c>
      <c r="B274" s="1"/>
      <c r="C274" s="10">
        <v>43091</v>
      </c>
      <c r="D274" s="14">
        <v>1104</v>
      </c>
      <c r="E274" s="18">
        <v>5.0549999999999997</v>
      </c>
      <c r="F274" s="14">
        <v>83</v>
      </c>
      <c r="G274" s="18">
        <v>1.2829999999999999</v>
      </c>
      <c r="H274" s="18">
        <v>48.14</v>
      </c>
      <c r="I274" s="14">
        <v>3001</v>
      </c>
      <c r="J274" s="14">
        <v>139.64349999999999</v>
      </c>
      <c r="K274" s="2">
        <v>8</v>
      </c>
      <c r="L274" s="18">
        <v>3.839</v>
      </c>
      <c r="M274" s="14">
        <v>234089</v>
      </c>
      <c r="N274" s="4">
        <v>0.87</v>
      </c>
      <c r="O274" s="82"/>
      <c r="P274" s="86"/>
      <c r="Q274" s="4"/>
      <c r="R274" s="4" t="b">
        <f t="shared" ca="1" si="15"/>
        <v>0</v>
      </c>
      <c r="S274" s="4" t="b">
        <f t="shared" si="16"/>
        <v>0</v>
      </c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</row>
    <row r="275" spans="1:34" ht="15" thickBot="1" x14ac:dyDescent="0.4">
      <c r="A275" s="1" t="s">
        <v>189</v>
      </c>
      <c r="B275" s="1"/>
      <c r="C275" s="10">
        <v>43090</v>
      </c>
      <c r="D275" s="14">
        <v>30974</v>
      </c>
      <c r="E275" s="18">
        <v>4.8570000000000002</v>
      </c>
      <c r="F275" s="14">
        <v>159</v>
      </c>
      <c r="G275" s="18">
        <v>2.3759999999999999</v>
      </c>
      <c r="H275" s="18">
        <v>36.15</v>
      </c>
      <c r="I275" s="14">
        <v>43337</v>
      </c>
      <c r="J275" s="14">
        <v>6722.5550000000003</v>
      </c>
      <c r="K275" s="2">
        <v>427</v>
      </c>
      <c r="L275" s="18">
        <v>102.64700000000001</v>
      </c>
      <c r="M275" s="14">
        <v>1228463</v>
      </c>
      <c r="N275" s="4">
        <v>2.21</v>
      </c>
      <c r="O275" s="82"/>
      <c r="P275" s="86"/>
      <c r="Q275" s="4"/>
      <c r="R275" s="4" t="b">
        <f t="shared" ca="1" si="15"/>
        <v>0</v>
      </c>
      <c r="S275" s="4" t="b">
        <f t="shared" si="16"/>
        <v>1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</row>
    <row r="276" spans="1:34" ht="15" thickBot="1" x14ac:dyDescent="0.4">
      <c r="A276" s="1" t="s">
        <v>185</v>
      </c>
      <c r="B276" s="1"/>
      <c r="C276" s="10">
        <v>43085</v>
      </c>
      <c r="D276" s="14">
        <v>1626</v>
      </c>
      <c r="E276" s="18">
        <v>3.57</v>
      </c>
      <c r="F276" s="14">
        <v>174</v>
      </c>
      <c r="G276" s="18">
        <v>0.76900000000000002</v>
      </c>
      <c r="H276" s="18">
        <v>55.27</v>
      </c>
      <c r="I276" s="14">
        <v>4761</v>
      </c>
      <c r="J276" s="14">
        <v>98.683000000000007</v>
      </c>
      <c r="K276" s="2">
        <v>4</v>
      </c>
      <c r="L276" s="18">
        <v>3.653</v>
      </c>
      <c r="M276" s="14">
        <v>228948</v>
      </c>
      <c r="N276" s="4">
        <v>1.54</v>
      </c>
      <c r="O276" s="82"/>
      <c r="P276" s="86"/>
      <c r="Q276" s="4"/>
      <c r="R276" s="4" t="b">
        <f t="shared" ca="1" si="15"/>
        <v>0</v>
      </c>
      <c r="S276" s="4" t="b">
        <f t="shared" si="16"/>
        <v>0</v>
      </c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</row>
    <row r="277" spans="1:34" ht="15" thickBot="1" x14ac:dyDescent="0.4">
      <c r="A277" s="1" t="s">
        <v>171</v>
      </c>
      <c r="B277" s="1"/>
      <c r="C277" s="10">
        <v>43083</v>
      </c>
      <c r="D277" s="14">
        <v>56952</v>
      </c>
      <c r="E277" s="18">
        <v>4.9889999999999999</v>
      </c>
      <c r="F277" s="14">
        <v>342</v>
      </c>
      <c r="G277" s="18">
        <v>2.5910000000000002</v>
      </c>
      <c r="H277" s="18">
        <v>31.59</v>
      </c>
      <c r="I277" s="14">
        <v>73110</v>
      </c>
      <c r="J277" s="14">
        <v>10143.1037</v>
      </c>
      <c r="K277" s="2">
        <v>1110</v>
      </c>
      <c r="L277" s="18">
        <v>189.09800000000001</v>
      </c>
      <c r="M277" s="14">
        <v>1696041</v>
      </c>
      <c r="N277" s="4">
        <v>2.65</v>
      </c>
      <c r="O277" s="82"/>
      <c r="P277" s="86"/>
      <c r="Q277" s="4"/>
      <c r="R277" s="4" t="b">
        <f t="shared" ca="1" si="15"/>
        <v>0</v>
      </c>
      <c r="S277" s="4" t="b">
        <f t="shared" si="16"/>
        <v>1</v>
      </c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</row>
    <row r="278" spans="1:34" ht="15" thickBot="1" x14ac:dyDescent="0.4">
      <c r="A278" s="1" t="s">
        <v>436</v>
      </c>
      <c r="B278" s="1"/>
      <c r="C278" s="10">
        <v>43078</v>
      </c>
      <c r="D278" s="14">
        <v>9848</v>
      </c>
      <c r="E278" s="18">
        <v>3.431</v>
      </c>
      <c r="F278" s="14">
        <v>0</v>
      </c>
      <c r="G278" s="18">
        <v>1.25</v>
      </c>
      <c r="H278" s="18">
        <v>53.32</v>
      </c>
      <c r="I278" s="14">
        <v>18285</v>
      </c>
      <c r="J278" s="14">
        <v>790.82399999999996</v>
      </c>
      <c r="K278" s="2">
        <v>108</v>
      </c>
      <c r="L278" s="18">
        <v>22.849</v>
      </c>
      <c r="M278" s="14">
        <v>487153</v>
      </c>
      <c r="N278" s="4">
        <v>2.74</v>
      </c>
      <c r="O278" s="82"/>
      <c r="P278" s="86"/>
      <c r="Q278" s="4"/>
      <c r="R278" s="4" t="b">
        <f t="shared" ca="1" si="15"/>
        <v>0</v>
      </c>
      <c r="S278" s="4" t="b">
        <f t="shared" si="16"/>
        <v>1</v>
      </c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</row>
    <row r="279" spans="1:34" ht="15" thickBot="1" x14ac:dyDescent="0.4">
      <c r="A279" s="1" t="s">
        <v>292</v>
      </c>
      <c r="B279" s="1"/>
      <c r="C279" s="10">
        <v>43075</v>
      </c>
      <c r="D279" s="14">
        <v>32031</v>
      </c>
      <c r="E279" s="18">
        <v>5.7679999999999998</v>
      </c>
      <c r="F279" s="14">
        <v>0</v>
      </c>
      <c r="G279" s="18">
        <v>2.6739999999999999</v>
      </c>
      <c r="H279" s="18">
        <v>46.2</v>
      </c>
      <c r="I279" s="14">
        <v>44596</v>
      </c>
      <c r="J279" s="14">
        <v>3628.6622000000002</v>
      </c>
      <c r="K279" s="2">
        <v>434</v>
      </c>
      <c r="L279" s="18">
        <v>118.958</v>
      </c>
      <c r="M279" s="14">
        <v>916609</v>
      </c>
      <c r="N279" s="4">
        <v>2.86</v>
      </c>
      <c r="O279" s="82"/>
      <c r="P279" s="86"/>
      <c r="Q279" s="4"/>
      <c r="R279" s="4" t="b">
        <f t="shared" ca="1" si="15"/>
        <v>0</v>
      </c>
      <c r="S279" s="4" t="b">
        <f t="shared" si="16"/>
        <v>1</v>
      </c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</row>
    <row r="280" spans="1:34" ht="15" thickBot="1" x14ac:dyDescent="0.4">
      <c r="A280" s="1" t="s">
        <v>186</v>
      </c>
      <c r="B280" s="1"/>
      <c r="C280" s="10">
        <v>43071</v>
      </c>
      <c r="D280" s="14">
        <v>2162</v>
      </c>
      <c r="E280" s="18">
        <v>3.5249999999999999</v>
      </c>
      <c r="F280" s="14">
        <v>172</v>
      </c>
      <c r="G280" s="18">
        <v>0.999</v>
      </c>
      <c r="H280" s="18">
        <v>55.06</v>
      </c>
      <c r="I280" s="14">
        <v>4990</v>
      </c>
      <c r="J280" s="14">
        <v>183.16290000000001</v>
      </c>
      <c r="K280" s="2">
        <v>12</v>
      </c>
      <c r="L280" s="18">
        <v>4.9779999999999998</v>
      </c>
      <c r="M280" s="14">
        <v>233555</v>
      </c>
      <c r="N280" s="4">
        <v>1.59</v>
      </c>
      <c r="O280" s="82"/>
      <c r="P280" s="86"/>
      <c r="Q280" s="4"/>
      <c r="R280" s="4" t="b">
        <f t="shared" ca="1" si="15"/>
        <v>0</v>
      </c>
      <c r="S280" s="4" t="b">
        <f t="shared" si="16"/>
        <v>0</v>
      </c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</row>
    <row r="281" spans="1:34" ht="15" thickBot="1" x14ac:dyDescent="0.4">
      <c r="A281" s="1" t="s">
        <v>180</v>
      </c>
      <c r="B281" s="1"/>
      <c r="C281" s="10">
        <v>43068</v>
      </c>
      <c r="D281" s="14">
        <v>51147</v>
      </c>
      <c r="E281" s="18">
        <v>5.2839999999999998</v>
      </c>
      <c r="F281" s="14">
        <v>235</v>
      </c>
      <c r="G281" s="18">
        <v>2.4039999999999999</v>
      </c>
      <c r="H281" s="18">
        <v>38.26</v>
      </c>
      <c r="I281" s="14">
        <v>72302</v>
      </c>
      <c r="J281" s="14">
        <v>6447.2210999999998</v>
      </c>
      <c r="K281" s="2">
        <v>884</v>
      </c>
      <c r="L281" s="18">
        <v>173.315</v>
      </c>
      <c r="M281" s="14">
        <v>1431696</v>
      </c>
      <c r="N281" s="4">
        <v>3.27</v>
      </c>
      <c r="O281" s="82"/>
      <c r="P281" s="86"/>
      <c r="Q281" s="4"/>
      <c r="R281" s="4" t="b">
        <f t="shared" ca="1" si="15"/>
        <v>0</v>
      </c>
      <c r="S281" s="4" t="b">
        <f t="shared" si="16"/>
        <v>1</v>
      </c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</row>
    <row r="282" spans="1:34" ht="15" thickBot="1" x14ac:dyDescent="0.4">
      <c r="A282" s="1" t="s">
        <v>431</v>
      </c>
      <c r="B282" s="1"/>
      <c r="C282" s="10">
        <v>43064</v>
      </c>
      <c r="D282" s="14">
        <v>1045</v>
      </c>
      <c r="E282" s="18">
        <v>4.5449999999999999</v>
      </c>
      <c r="F282" s="14">
        <v>0</v>
      </c>
      <c r="G282" s="18">
        <v>1.292</v>
      </c>
      <c r="H282" s="18">
        <v>45.62</v>
      </c>
      <c r="I282" s="14">
        <v>2622</v>
      </c>
      <c r="J282" s="14">
        <v>128.91929999999999</v>
      </c>
      <c r="K282" s="2">
        <v>0</v>
      </c>
      <c r="L282" s="18">
        <v>3.3809999999999998</v>
      </c>
      <c r="M282" s="14">
        <v>217573</v>
      </c>
      <c r="N282" s="4">
        <v>0.84</v>
      </c>
      <c r="O282" s="82"/>
      <c r="P282" s="86"/>
      <c r="Q282" s="4"/>
      <c r="R282" s="4" t="b">
        <f t="shared" ca="1" si="15"/>
        <v>0</v>
      </c>
      <c r="S282" s="4" t="b">
        <f t="shared" si="16"/>
        <v>0</v>
      </c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</row>
    <row r="283" spans="1:34" ht="15" thickBot="1" x14ac:dyDescent="0.4">
      <c r="A283" s="1" t="s">
        <v>223</v>
      </c>
      <c r="B283" s="1"/>
      <c r="C283" s="10">
        <v>43060</v>
      </c>
      <c r="D283" s="14">
        <v>4019</v>
      </c>
      <c r="E283" s="18">
        <v>3.6920000000000002</v>
      </c>
      <c r="F283" s="14">
        <v>11</v>
      </c>
      <c r="G283" s="18">
        <v>1.506</v>
      </c>
      <c r="H283" s="18">
        <v>22.49</v>
      </c>
      <c r="I283" s="14">
        <v>6419</v>
      </c>
      <c r="J283" s="14">
        <v>541.01160000000004</v>
      </c>
      <c r="K283" s="2">
        <v>34</v>
      </c>
      <c r="L283" s="18">
        <v>9.6479999999999997</v>
      </c>
      <c r="M283" s="14">
        <v>286443</v>
      </c>
      <c r="N283" s="4">
        <v>1.51</v>
      </c>
      <c r="O283" s="82"/>
      <c r="P283" s="86"/>
      <c r="Q283" s="4"/>
      <c r="R283" s="4" t="b">
        <f t="shared" ca="1" si="15"/>
        <v>0</v>
      </c>
      <c r="S283" s="4" t="b">
        <f t="shared" si="16"/>
        <v>0</v>
      </c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</row>
    <row r="284" spans="1:34" ht="15" thickBot="1" x14ac:dyDescent="0.4">
      <c r="A284" s="1" t="s">
        <v>200</v>
      </c>
      <c r="B284" s="1"/>
      <c r="C284" s="10">
        <v>43057</v>
      </c>
      <c r="D284" s="14">
        <v>1455</v>
      </c>
      <c r="E284" s="18">
        <v>3.78</v>
      </c>
      <c r="F284" s="14">
        <v>100</v>
      </c>
      <c r="G284" s="18">
        <v>1.133</v>
      </c>
      <c r="H284" s="18">
        <v>45.98</v>
      </c>
      <c r="I284" s="14">
        <v>3447</v>
      </c>
      <c r="J284" s="14">
        <v>178.7371</v>
      </c>
      <c r="K284" s="2">
        <v>3</v>
      </c>
      <c r="L284" s="18">
        <v>3.8969999999999998</v>
      </c>
      <c r="M284" s="14">
        <v>218182</v>
      </c>
      <c r="N284" s="4">
        <v>1.07</v>
      </c>
      <c r="O284" s="82"/>
      <c r="P284" s="86"/>
      <c r="Q284" s="4"/>
      <c r="R284" s="4" t="b">
        <f t="shared" ca="1" si="15"/>
        <v>0</v>
      </c>
      <c r="S284" s="4" t="b">
        <f t="shared" si="16"/>
        <v>0</v>
      </c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</row>
    <row r="285" spans="1:34" ht="15" thickBot="1" x14ac:dyDescent="0.4">
      <c r="A285" s="1" t="s">
        <v>439</v>
      </c>
      <c r="B285" s="1"/>
      <c r="C285" s="10">
        <v>43054</v>
      </c>
      <c r="D285" s="14">
        <v>3235</v>
      </c>
      <c r="E285" s="18">
        <v>5.2460000000000004</v>
      </c>
      <c r="F285" s="14">
        <v>0</v>
      </c>
      <c r="G285" s="18">
        <v>1.859</v>
      </c>
      <c r="H285" s="18">
        <v>43.21</v>
      </c>
      <c r="I285" s="14">
        <v>6003</v>
      </c>
      <c r="J285" s="14">
        <v>463.3211</v>
      </c>
      <c r="K285" s="2">
        <v>84</v>
      </c>
      <c r="L285" s="18">
        <v>11.141</v>
      </c>
      <c r="M285" s="14">
        <v>271455</v>
      </c>
      <c r="N285" s="4">
        <v>1.42</v>
      </c>
      <c r="O285" s="82"/>
      <c r="P285" s="86"/>
      <c r="Q285" s="4"/>
      <c r="R285" s="4" t="b">
        <f t="shared" ca="1" si="15"/>
        <v>0</v>
      </c>
      <c r="S285" s="4" t="b">
        <f t="shared" si="16"/>
        <v>0</v>
      </c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</row>
    <row r="286" spans="1:34" ht="15" thickBot="1" x14ac:dyDescent="0.4">
      <c r="A286" s="1" t="s">
        <v>175</v>
      </c>
      <c r="B286" s="1"/>
      <c r="C286" s="10">
        <v>43050</v>
      </c>
      <c r="D286" s="14">
        <v>2972</v>
      </c>
      <c r="E286" s="18">
        <v>3.359</v>
      </c>
      <c r="F286" s="14">
        <v>272</v>
      </c>
      <c r="G286" s="18">
        <v>0.88200000000000001</v>
      </c>
      <c r="H286" s="18">
        <v>50.35</v>
      </c>
      <c r="I286" s="14">
        <v>7294</v>
      </c>
      <c r="J286" s="14">
        <v>262.17180000000002</v>
      </c>
      <c r="K286" s="2">
        <v>17</v>
      </c>
      <c r="L286" s="18">
        <v>6.423</v>
      </c>
      <c r="M286" s="14">
        <v>251083</v>
      </c>
      <c r="N286" s="4">
        <v>2.17</v>
      </c>
      <c r="O286" s="82"/>
      <c r="P286" s="86"/>
      <c r="Q286" s="4"/>
      <c r="R286" s="4" t="b">
        <f t="shared" ca="1" si="15"/>
        <v>0</v>
      </c>
      <c r="S286" s="4" t="b">
        <f t="shared" si="16"/>
        <v>0</v>
      </c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</row>
    <row r="287" spans="1:34" ht="15" thickBot="1" x14ac:dyDescent="0.4">
      <c r="A287" s="1" t="s">
        <v>209</v>
      </c>
      <c r="B287" s="1"/>
      <c r="C287" s="10">
        <v>43047</v>
      </c>
      <c r="D287" s="14">
        <v>10152</v>
      </c>
      <c r="E287" s="18">
        <v>4.9710000000000001</v>
      </c>
      <c r="F287" s="14">
        <v>58</v>
      </c>
      <c r="G287" s="18">
        <v>2.1890000000000001</v>
      </c>
      <c r="H287" s="18">
        <v>34.74</v>
      </c>
      <c r="I287" s="14">
        <v>15221</v>
      </c>
      <c r="J287" s="14">
        <v>1689.3155999999999</v>
      </c>
      <c r="K287" s="2">
        <v>88</v>
      </c>
      <c r="L287" s="18">
        <v>33.25</v>
      </c>
      <c r="M287" s="14">
        <v>481739</v>
      </c>
      <c r="N287" s="4">
        <v>2.02</v>
      </c>
      <c r="O287" s="82"/>
      <c r="P287" s="86"/>
      <c r="Q287" s="4"/>
      <c r="R287" s="4" t="b">
        <f t="shared" ca="1" si="15"/>
        <v>0</v>
      </c>
      <c r="S287" s="4" t="b">
        <f t="shared" si="16"/>
        <v>1</v>
      </c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</row>
    <row r="288" spans="1:34" ht="15" thickBot="1" x14ac:dyDescent="0.4">
      <c r="A288" s="1" t="s">
        <v>193</v>
      </c>
      <c r="B288" s="1"/>
      <c r="C288" s="10">
        <v>43041</v>
      </c>
      <c r="D288" s="14">
        <v>996</v>
      </c>
      <c r="E288" s="18">
        <v>3.911</v>
      </c>
      <c r="F288" s="14">
        <v>118</v>
      </c>
      <c r="G288" s="18">
        <v>1.0640000000000001</v>
      </c>
      <c r="H288" s="18">
        <v>50.41</v>
      </c>
      <c r="I288" s="14">
        <v>2517</v>
      </c>
      <c r="J288" s="14">
        <v>119.4843</v>
      </c>
      <c r="K288" s="2">
        <v>1</v>
      </c>
      <c r="L288" s="18">
        <v>2.67</v>
      </c>
      <c r="M288" s="14">
        <v>209191</v>
      </c>
      <c r="N288" s="4">
        <v>0.84</v>
      </c>
      <c r="O288" s="82"/>
      <c r="P288" s="86"/>
      <c r="Q288" s="4"/>
      <c r="R288" s="4" t="b">
        <f t="shared" ca="1" si="15"/>
        <v>0</v>
      </c>
      <c r="S288" s="4" t="b">
        <f t="shared" si="16"/>
        <v>0</v>
      </c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</row>
    <row r="289" spans="1:34" ht="15" thickBot="1" x14ac:dyDescent="0.4">
      <c r="A289" s="1" t="s">
        <v>217</v>
      </c>
      <c r="B289" s="1"/>
      <c r="C289" s="10">
        <v>43036</v>
      </c>
      <c r="D289" s="14">
        <v>4792</v>
      </c>
      <c r="E289" s="18">
        <v>4.0570000000000004</v>
      </c>
      <c r="F289" s="14">
        <v>42</v>
      </c>
      <c r="G289" s="18">
        <v>1.5760000000000001</v>
      </c>
      <c r="H289" s="18">
        <v>34.93</v>
      </c>
      <c r="I289" s="14">
        <v>8023</v>
      </c>
      <c r="J289" s="14">
        <v>632.16020000000003</v>
      </c>
      <c r="K289" s="2">
        <v>66</v>
      </c>
      <c r="L289" s="18">
        <v>12.637</v>
      </c>
      <c r="M289" s="14">
        <v>334019</v>
      </c>
      <c r="N289" s="4">
        <v>1.45</v>
      </c>
      <c r="O289" s="82"/>
      <c r="P289" s="86"/>
      <c r="Q289" s="4"/>
      <c r="R289" s="4" t="b">
        <f t="shared" ca="1" si="15"/>
        <v>0</v>
      </c>
      <c r="S289" s="4" t="b">
        <f t="shared" si="16"/>
        <v>0</v>
      </c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</row>
    <row r="290" spans="1:34" ht="15" thickBot="1" x14ac:dyDescent="0.4">
      <c r="A290" s="1" t="s">
        <v>165</v>
      </c>
      <c r="B290" s="1"/>
      <c r="C290" s="10">
        <v>43032</v>
      </c>
      <c r="D290" s="14">
        <v>21176</v>
      </c>
      <c r="E290" s="18">
        <v>4.9039999999999999</v>
      </c>
      <c r="F290" s="14">
        <v>393</v>
      </c>
      <c r="G290" s="18">
        <v>2.2999999999999998</v>
      </c>
      <c r="H290" s="18">
        <v>57.07</v>
      </c>
      <c r="I290" s="14">
        <v>28767</v>
      </c>
      <c r="J290" s="14">
        <v>1199.4208000000001</v>
      </c>
      <c r="K290" s="2">
        <v>220</v>
      </c>
      <c r="L290" s="18">
        <v>66.093999999999994</v>
      </c>
      <c r="M290" s="14">
        <v>531398</v>
      </c>
      <c r="N290" s="4">
        <v>3.06</v>
      </c>
      <c r="O290" s="82"/>
      <c r="P290" s="86"/>
      <c r="Q290" s="4"/>
      <c r="R290" s="4" t="b">
        <f t="shared" ca="1" si="15"/>
        <v>0</v>
      </c>
      <c r="S290" s="4" t="b">
        <f t="shared" si="16"/>
        <v>1</v>
      </c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</row>
    <row r="291" spans="1:34" ht="15" thickBot="1" x14ac:dyDescent="0.4">
      <c r="A291" s="1" t="s">
        <v>183</v>
      </c>
      <c r="B291" s="1"/>
      <c r="C291" s="10">
        <v>43029</v>
      </c>
      <c r="D291" s="14">
        <v>2784</v>
      </c>
      <c r="E291" s="18">
        <v>3.5990000000000002</v>
      </c>
      <c r="F291" s="14">
        <v>186</v>
      </c>
      <c r="G291" s="18">
        <v>0.92</v>
      </c>
      <c r="H291" s="18">
        <v>53.69</v>
      </c>
      <c r="I291" s="14">
        <v>6859</v>
      </c>
      <c r="J291" s="14">
        <v>161.62180000000001</v>
      </c>
      <c r="K291" s="2">
        <v>6</v>
      </c>
      <c r="L291" s="18">
        <v>6.2919999999999998</v>
      </c>
      <c r="M291" s="14">
        <v>217140</v>
      </c>
      <c r="N291" s="4">
        <v>2.2599999999999998</v>
      </c>
      <c r="O291" s="82"/>
      <c r="P291" s="86"/>
      <c r="Q291" s="4"/>
      <c r="R291" s="4" t="b">
        <f t="shared" ca="1" si="15"/>
        <v>0</v>
      </c>
      <c r="S291" s="4" t="b">
        <f t="shared" si="16"/>
        <v>0</v>
      </c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</row>
    <row r="292" spans="1:34" ht="15" thickBot="1" x14ac:dyDescent="0.4">
      <c r="A292" s="1" t="s">
        <v>218</v>
      </c>
      <c r="B292" s="1"/>
      <c r="C292" s="10">
        <v>43025</v>
      </c>
      <c r="D292" s="14">
        <v>6193</v>
      </c>
      <c r="E292" s="18">
        <v>3.5470000000000002</v>
      </c>
      <c r="F292" s="14">
        <v>41</v>
      </c>
      <c r="G292" s="18">
        <v>1.3180000000000001</v>
      </c>
      <c r="H292" s="18">
        <v>34.799999999999997</v>
      </c>
      <c r="I292" s="14">
        <v>10382</v>
      </c>
      <c r="J292" s="14">
        <v>741.60239999999999</v>
      </c>
      <c r="K292" s="2">
        <v>60</v>
      </c>
      <c r="L292" s="18">
        <v>13.656000000000001</v>
      </c>
      <c r="M292" s="14">
        <v>328432</v>
      </c>
      <c r="N292" s="4">
        <v>1.87</v>
      </c>
      <c r="O292" s="82"/>
      <c r="P292" s="86"/>
      <c r="Q292" s="4"/>
      <c r="R292" s="4" t="b">
        <f t="shared" ca="1" si="15"/>
        <v>0</v>
      </c>
      <c r="S292" s="4" t="b">
        <f t="shared" si="16"/>
        <v>0</v>
      </c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</row>
    <row r="293" spans="1:34" ht="15" thickBot="1" x14ac:dyDescent="0.4">
      <c r="A293" s="1" t="s">
        <v>160</v>
      </c>
      <c r="B293" s="1"/>
      <c r="C293" s="10">
        <v>43023</v>
      </c>
      <c r="D293" s="14">
        <v>71111</v>
      </c>
      <c r="E293" s="18">
        <v>4.9569999999999999</v>
      </c>
      <c r="F293" s="14">
        <v>450</v>
      </c>
      <c r="G293" s="18">
        <v>2.242</v>
      </c>
      <c r="H293" s="18">
        <v>36.51</v>
      </c>
      <c r="I293" s="14">
        <v>101616</v>
      </c>
      <c r="J293" s="14">
        <v>7955.0537999999997</v>
      </c>
      <c r="K293" s="2">
        <v>1249</v>
      </c>
      <c r="L293" s="18">
        <v>227.45500000000001</v>
      </c>
      <c r="M293" s="14">
        <v>1459534</v>
      </c>
      <c r="N293" s="4">
        <v>4.29</v>
      </c>
      <c r="O293" s="82"/>
      <c r="P293" s="86"/>
      <c r="Q293" s="4"/>
      <c r="R293" s="4" t="b">
        <f t="shared" ca="1" si="15"/>
        <v>0</v>
      </c>
      <c r="S293" s="4" t="b">
        <f t="shared" si="16"/>
        <v>1</v>
      </c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</row>
    <row r="294" spans="1:34" ht="15" thickBot="1" x14ac:dyDescent="0.4">
      <c r="A294" s="1" t="s">
        <v>141</v>
      </c>
      <c r="B294" s="1"/>
      <c r="C294" s="10">
        <v>43020</v>
      </c>
      <c r="D294" s="14">
        <v>3889</v>
      </c>
      <c r="E294" s="18">
        <v>4.07</v>
      </c>
      <c r="F294" s="14">
        <v>786</v>
      </c>
      <c r="G294" s="18">
        <v>0.98299999999999998</v>
      </c>
      <c r="H294" s="18">
        <v>50.89</v>
      </c>
      <c r="I294" s="14">
        <v>9787</v>
      </c>
      <c r="J294" s="14">
        <v>228.26169999999999</v>
      </c>
      <c r="K294" s="2">
        <v>39</v>
      </c>
      <c r="L294" s="18">
        <v>9.6050000000000004</v>
      </c>
      <c r="M294" s="14">
        <v>254007</v>
      </c>
      <c r="N294" s="4">
        <v>2.61</v>
      </c>
      <c r="O294" s="82"/>
      <c r="P294" s="86"/>
      <c r="Q294" s="4"/>
      <c r="R294" s="4" t="b">
        <f t="shared" ca="1" si="15"/>
        <v>0</v>
      </c>
      <c r="S294" s="4" t="b">
        <f t="shared" si="16"/>
        <v>0</v>
      </c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</row>
    <row r="295" spans="1:34" ht="15" thickBot="1" x14ac:dyDescent="0.4">
      <c r="A295" s="1" t="s">
        <v>184</v>
      </c>
      <c r="B295" s="1"/>
      <c r="C295" s="10">
        <v>43013</v>
      </c>
      <c r="D295" s="14">
        <v>16574</v>
      </c>
      <c r="E295" s="18">
        <v>5.3239999999999998</v>
      </c>
      <c r="F295" s="14">
        <v>181</v>
      </c>
      <c r="G295" s="18">
        <v>2.2949999999999999</v>
      </c>
      <c r="H295" s="18">
        <v>36.979999999999997</v>
      </c>
      <c r="I295" s="14">
        <v>25714</v>
      </c>
      <c r="J295" s="14">
        <v>2118.4821000000002</v>
      </c>
      <c r="K295" s="2">
        <v>306</v>
      </c>
      <c r="L295" s="18">
        <v>58.923000000000002</v>
      </c>
      <c r="M295" s="14">
        <v>484908</v>
      </c>
      <c r="N295" s="4">
        <v>3.1</v>
      </c>
      <c r="O295" s="82"/>
      <c r="P295" s="86"/>
      <c r="Q295" s="4"/>
      <c r="R295" s="4" t="b">
        <f t="shared" ca="1" si="15"/>
        <v>0</v>
      </c>
      <c r="S295" s="4" t="b">
        <f t="shared" si="16"/>
        <v>1</v>
      </c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</row>
    <row r="296" spans="1:34" ht="15" thickBot="1" x14ac:dyDescent="0.4">
      <c r="A296" s="1" t="s">
        <v>197</v>
      </c>
      <c r="B296" s="1"/>
      <c r="C296" s="10">
        <v>43009</v>
      </c>
      <c r="D296" s="14">
        <v>20172</v>
      </c>
      <c r="E296" s="18">
        <v>3.3730000000000002</v>
      </c>
      <c r="F296" s="14">
        <v>110</v>
      </c>
      <c r="G296" s="18">
        <v>1.3049999999999999</v>
      </c>
      <c r="H296" s="18">
        <v>29.17</v>
      </c>
      <c r="I296" s="14">
        <v>33236</v>
      </c>
      <c r="J296" s="14">
        <v>1464.9565</v>
      </c>
      <c r="K296" s="2">
        <v>545</v>
      </c>
      <c r="L296" s="18">
        <v>43.326000000000001</v>
      </c>
      <c r="M296" s="14">
        <v>537176</v>
      </c>
      <c r="N296" s="4">
        <v>4.24</v>
      </c>
      <c r="O296" s="82"/>
      <c r="P296" s="86"/>
      <c r="Q296" s="4"/>
      <c r="R296" s="4" t="b">
        <f t="shared" ca="1" si="15"/>
        <v>0</v>
      </c>
      <c r="S296" s="4" t="b">
        <f t="shared" si="16"/>
        <v>1</v>
      </c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</row>
    <row r="297" spans="1:34" ht="15" thickBot="1" x14ac:dyDescent="0.4">
      <c r="A297" s="1" t="s">
        <v>147</v>
      </c>
      <c r="B297" s="1"/>
      <c r="C297" s="10">
        <v>43008</v>
      </c>
      <c r="D297" s="14">
        <v>2168</v>
      </c>
      <c r="E297" s="18">
        <v>5.1109999999999998</v>
      </c>
      <c r="F297" s="14">
        <v>611</v>
      </c>
      <c r="G297" s="18">
        <v>1.4510000000000001</v>
      </c>
      <c r="H297" s="18">
        <v>54.69</v>
      </c>
      <c r="I297" s="14">
        <v>5144</v>
      </c>
      <c r="J297" s="14">
        <v>245.3835</v>
      </c>
      <c r="K297" s="2">
        <v>8</v>
      </c>
      <c r="L297" s="18">
        <v>7.4470000000000001</v>
      </c>
      <c r="M297" s="14">
        <v>233584</v>
      </c>
      <c r="N297" s="4">
        <v>1.49</v>
      </c>
      <c r="O297" s="82"/>
      <c r="P297" s="86"/>
      <c r="Q297" s="4"/>
      <c r="R297" s="4" t="b">
        <f t="shared" ca="1" si="15"/>
        <v>0</v>
      </c>
      <c r="S297" s="4" t="b">
        <f t="shared" si="16"/>
        <v>0</v>
      </c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</row>
    <row r="298" spans="1:34" ht="15" thickBot="1" x14ac:dyDescent="0.4">
      <c r="A298" s="1" t="s">
        <v>169</v>
      </c>
      <c r="B298" s="1"/>
      <c r="C298" s="10">
        <v>43004</v>
      </c>
      <c r="D298" s="14">
        <v>1130</v>
      </c>
      <c r="E298" s="18">
        <v>3.8769999999999998</v>
      </c>
      <c r="F298" s="14">
        <v>358</v>
      </c>
      <c r="G298" s="18">
        <v>0.93600000000000005</v>
      </c>
      <c r="H298" s="18">
        <v>56.41</v>
      </c>
      <c r="I298" s="14">
        <v>3065</v>
      </c>
      <c r="J298" s="14">
        <v>109.495</v>
      </c>
      <c r="K298" s="2">
        <v>0</v>
      </c>
      <c r="L298" s="18">
        <v>2.8679999999999999</v>
      </c>
      <c r="M298" s="14">
        <v>200305</v>
      </c>
      <c r="N298" s="4">
        <v>0.96</v>
      </c>
      <c r="O298" s="82"/>
      <c r="P298" s="86"/>
      <c r="Q298" s="4"/>
      <c r="R298" s="4" t="b">
        <f t="shared" ca="1" si="15"/>
        <v>0</v>
      </c>
      <c r="S298" s="4" t="b">
        <f t="shared" si="16"/>
        <v>0</v>
      </c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" thickBot="1" x14ac:dyDescent="0.4">
      <c r="A299" s="1" t="s">
        <v>198</v>
      </c>
      <c r="B299" s="1"/>
      <c r="C299" s="10">
        <v>43001</v>
      </c>
      <c r="D299" s="14">
        <v>15325</v>
      </c>
      <c r="E299" s="18">
        <v>6.1310000000000002</v>
      </c>
      <c r="F299" s="14">
        <v>110</v>
      </c>
      <c r="G299" s="18">
        <v>2.8839999999999999</v>
      </c>
      <c r="H299" s="18">
        <v>43.92</v>
      </c>
      <c r="I299" s="14">
        <v>21020</v>
      </c>
      <c r="J299" s="14">
        <v>1582.3316</v>
      </c>
      <c r="K299" s="2">
        <v>243</v>
      </c>
      <c r="L299" s="18">
        <v>60.582000000000001</v>
      </c>
      <c r="M299" s="14">
        <v>441687</v>
      </c>
      <c r="N299" s="4">
        <v>3.33</v>
      </c>
      <c r="O299" s="82"/>
      <c r="P299" s="86"/>
      <c r="Q299" s="4"/>
      <c r="R299" s="4" t="b">
        <f t="shared" ca="1" si="15"/>
        <v>0</v>
      </c>
      <c r="S299" s="4" t="b">
        <f t="shared" si="16"/>
        <v>1</v>
      </c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" thickBot="1" x14ac:dyDescent="0.4">
      <c r="A300" s="1" t="s">
        <v>157</v>
      </c>
      <c r="B300" s="1"/>
      <c r="C300" s="10">
        <v>43000</v>
      </c>
      <c r="D300" s="14">
        <v>1903</v>
      </c>
      <c r="E300" s="18">
        <v>3.4729999999999999</v>
      </c>
      <c r="F300" s="14">
        <v>483</v>
      </c>
      <c r="G300" s="18">
        <v>0.877</v>
      </c>
      <c r="H300" s="18">
        <v>55.35</v>
      </c>
      <c r="I300" s="14">
        <v>4898</v>
      </c>
      <c r="J300" s="14">
        <v>173.96080000000001</v>
      </c>
      <c r="K300" s="2">
        <v>15</v>
      </c>
      <c r="L300" s="18">
        <v>4.2880000000000003</v>
      </c>
      <c r="M300" s="14">
        <v>217155</v>
      </c>
      <c r="N300" s="4">
        <v>1.51</v>
      </c>
      <c r="O300" s="82"/>
      <c r="P300" s="86"/>
      <c r="Q300" s="4"/>
      <c r="R300" s="4" t="b">
        <f t="shared" ca="1" si="15"/>
        <v>0</v>
      </c>
      <c r="S300" s="4" t="b">
        <f t="shared" si="16"/>
        <v>0</v>
      </c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" thickBot="1" x14ac:dyDescent="0.4">
      <c r="A301" s="1" t="s">
        <v>153</v>
      </c>
      <c r="B301" s="1"/>
      <c r="C301" s="10">
        <v>42998</v>
      </c>
      <c r="D301" s="14">
        <v>1250</v>
      </c>
      <c r="E301" s="18">
        <v>4.2389999999999999</v>
      </c>
      <c r="F301" s="14">
        <v>513</v>
      </c>
      <c r="G301" s="18">
        <v>0.94299999999999995</v>
      </c>
      <c r="H301" s="18">
        <v>57.55</v>
      </c>
      <c r="I301" s="14">
        <v>3683</v>
      </c>
      <c r="J301" s="14">
        <v>148.37100000000001</v>
      </c>
      <c r="K301" s="2">
        <v>5</v>
      </c>
      <c r="L301" s="18">
        <v>3.4710000000000001</v>
      </c>
      <c r="M301" s="14">
        <v>202107</v>
      </c>
      <c r="N301" s="4">
        <v>1.19</v>
      </c>
      <c r="O301" s="82"/>
      <c r="P301" s="86"/>
      <c r="Q301" s="4"/>
      <c r="R301" s="4" t="b">
        <f t="shared" ca="1" si="15"/>
        <v>0</v>
      </c>
      <c r="S301" s="4" t="b">
        <f t="shared" si="16"/>
        <v>0</v>
      </c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" thickBot="1" x14ac:dyDescent="0.4">
      <c r="A302" s="1" t="s">
        <v>166</v>
      </c>
      <c r="B302" s="1"/>
      <c r="C302" s="10">
        <v>42993</v>
      </c>
      <c r="D302" s="14">
        <v>1516</v>
      </c>
      <c r="E302" s="18">
        <v>4.4489999999999998</v>
      </c>
      <c r="F302" s="14">
        <v>392</v>
      </c>
      <c r="G302" s="18">
        <v>1.0820000000000001</v>
      </c>
      <c r="H302" s="18">
        <v>54.03</v>
      </c>
      <c r="I302" s="14">
        <v>3838</v>
      </c>
      <c r="J302" s="14">
        <v>102.53149999999999</v>
      </c>
      <c r="K302" s="2">
        <v>2</v>
      </c>
      <c r="L302" s="18">
        <v>4.1500000000000004</v>
      </c>
      <c r="M302" s="14">
        <v>202957</v>
      </c>
      <c r="N302" s="4">
        <v>1.27</v>
      </c>
      <c r="O302" s="82"/>
      <c r="P302" s="86"/>
      <c r="Q302" s="4"/>
      <c r="R302" s="4" t="b">
        <f t="shared" ca="1" si="15"/>
        <v>0</v>
      </c>
      <c r="S302" s="4" t="b">
        <f t="shared" si="16"/>
        <v>0</v>
      </c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" thickBot="1" x14ac:dyDescent="0.4">
      <c r="A303" s="1" t="s">
        <v>161</v>
      </c>
      <c r="B303" s="1"/>
      <c r="C303" s="10">
        <v>42989</v>
      </c>
      <c r="D303" s="14">
        <v>2419</v>
      </c>
      <c r="E303" s="18">
        <v>3.9929999999999999</v>
      </c>
      <c r="F303" s="14">
        <v>430</v>
      </c>
      <c r="G303" s="18">
        <v>1.2849999999999999</v>
      </c>
      <c r="H303" s="18">
        <v>51.08</v>
      </c>
      <c r="I303" s="14">
        <v>5293</v>
      </c>
      <c r="J303" s="14">
        <v>248.60810000000001</v>
      </c>
      <c r="K303" s="2">
        <v>6</v>
      </c>
      <c r="L303" s="18">
        <v>6.7919999999999998</v>
      </c>
      <c r="M303" s="14">
        <v>212883</v>
      </c>
      <c r="N303" s="4">
        <v>1.69</v>
      </c>
      <c r="O303" s="82"/>
      <c r="P303" s="86"/>
      <c r="Q303" s="4"/>
      <c r="R303" s="4" t="b">
        <f t="shared" ca="1" si="15"/>
        <v>0</v>
      </c>
      <c r="S303" s="4" t="b">
        <f t="shared" si="16"/>
        <v>0</v>
      </c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" thickBot="1" x14ac:dyDescent="0.4">
      <c r="A304" s="1" t="s">
        <v>240</v>
      </c>
      <c r="B304" s="1"/>
      <c r="C304" s="10">
        <v>42987</v>
      </c>
      <c r="D304" s="14">
        <v>154</v>
      </c>
      <c r="E304" s="18">
        <v>4.8970000000000002</v>
      </c>
      <c r="F304" s="14">
        <v>0</v>
      </c>
      <c r="G304" s="18">
        <v>0.54700000000000004</v>
      </c>
      <c r="H304" s="18">
        <v>43.98</v>
      </c>
      <c r="I304" s="14">
        <v>773</v>
      </c>
      <c r="J304" s="14">
        <v>10.4817</v>
      </c>
      <c r="K304" s="2">
        <v>0</v>
      </c>
      <c r="L304" s="18">
        <v>0.42199999999999999</v>
      </c>
      <c r="M304" s="14">
        <v>3339</v>
      </c>
      <c r="N304" s="4">
        <v>8.92</v>
      </c>
      <c r="O304" s="82"/>
      <c r="P304" s="86"/>
      <c r="Q304" s="4"/>
      <c r="R304" s="4" t="b">
        <f t="shared" ca="1" si="15"/>
        <v>0</v>
      </c>
      <c r="S304" s="4" t="b">
        <f t="shared" si="16"/>
        <v>0</v>
      </c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" thickBot="1" x14ac:dyDescent="0.4">
      <c r="A305" s="1" t="s">
        <v>155</v>
      </c>
      <c r="B305" s="1"/>
      <c r="C305" s="10">
        <v>42985</v>
      </c>
      <c r="D305" s="14">
        <v>4185</v>
      </c>
      <c r="E305" s="18">
        <v>3.6579999999999999</v>
      </c>
      <c r="F305" s="14">
        <v>496</v>
      </c>
      <c r="G305" s="18">
        <v>1.119</v>
      </c>
      <c r="H305" s="18">
        <v>46.5</v>
      </c>
      <c r="I305" s="14">
        <v>9177</v>
      </c>
      <c r="J305" s="14">
        <v>536.976</v>
      </c>
      <c r="K305" s="2">
        <v>15</v>
      </c>
      <c r="L305" s="18">
        <v>10.249000000000001</v>
      </c>
      <c r="M305" s="14">
        <v>241258</v>
      </c>
      <c r="N305" s="4">
        <v>2.31</v>
      </c>
      <c r="O305" s="82"/>
      <c r="P305" s="86"/>
      <c r="Q305" s="4"/>
      <c r="R305" s="4" t="b">
        <f t="shared" ca="1" si="15"/>
        <v>0</v>
      </c>
      <c r="S305" s="4" t="b">
        <f t="shared" si="16"/>
        <v>0</v>
      </c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" thickBot="1" x14ac:dyDescent="0.4">
      <c r="A306" s="1" t="s">
        <v>109</v>
      </c>
      <c r="B306" s="1"/>
      <c r="C306" s="10">
        <v>42980</v>
      </c>
      <c r="D306" s="14">
        <v>7580</v>
      </c>
      <c r="E306" s="18">
        <v>3.0350000000000001</v>
      </c>
      <c r="F306" s="14">
        <v>1891</v>
      </c>
      <c r="G306" s="18">
        <v>0.81499999999999995</v>
      </c>
      <c r="H306" s="18">
        <v>48.27</v>
      </c>
      <c r="I306" s="14">
        <v>18030</v>
      </c>
      <c r="J306" s="14">
        <v>481.07780000000002</v>
      </c>
      <c r="K306" s="2">
        <v>93</v>
      </c>
      <c r="L306" s="18">
        <v>14.664</v>
      </c>
      <c r="M306" s="14">
        <v>277927</v>
      </c>
      <c r="N306" s="4">
        <v>5.33</v>
      </c>
      <c r="O306" s="82"/>
      <c r="P306" s="86"/>
      <c r="Q306" s="4"/>
      <c r="R306" s="4" t="b">
        <f t="shared" ca="1" si="15"/>
        <v>0</v>
      </c>
      <c r="S306" s="4" t="b">
        <f t="shared" si="16"/>
        <v>1</v>
      </c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" thickBot="1" x14ac:dyDescent="0.4">
      <c r="A307" s="1" t="s">
        <v>285</v>
      </c>
      <c r="B307" s="1"/>
      <c r="C307" s="10">
        <v>42977</v>
      </c>
      <c r="D307" s="14">
        <v>17870</v>
      </c>
      <c r="E307" s="18">
        <v>3.9750000000000001</v>
      </c>
      <c r="F307" s="14">
        <v>0</v>
      </c>
      <c r="G307" s="18">
        <v>1.966</v>
      </c>
      <c r="H307" s="18">
        <v>45.8</v>
      </c>
      <c r="I307" s="14">
        <v>22559</v>
      </c>
      <c r="J307" s="14">
        <v>2586.9168</v>
      </c>
      <c r="K307" s="2">
        <v>205</v>
      </c>
      <c r="L307" s="18">
        <v>43.496000000000002</v>
      </c>
      <c r="M307" s="14">
        <v>611181</v>
      </c>
      <c r="N307" s="4">
        <v>2.06</v>
      </c>
      <c r="O307" s="82"/>
      <c r="P307" s="86"/>
      <c r="Q307" s="4"/>
      <c r="R307" s="4" t="b">
        <f t="shared" ca="1" si="15"/>
        <v>0</v>
      </c>
      <c r="S307" s="4" t="b">
        <f t="shared" si="16"/>
        <v>1</v>
      </c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" thickBot="1" x14ac:dyDescent="0.4">
      <c r="A308" s="1" t="s">
        <v>397</v>
      </c>
      <c r="B308" s="1"/>
      <c r="C308" s="10">
        <v>42971</v>
      </c>
      <c r="D308" s="14">
        <v>628</v>
      </c>
      <c r="E308" s="18">
        <v>6.8319999999999999</v>
      </c>
      <c r="F308" s="14">
        <v>0</v>
      </c>
      <c r="G308" s="18">
        <v>1.419</v>
      </c>
      <c r="H308" s="18">
        <v>37.78</v>
      </c>
      <c r="I308" s="14">
        <v>2021</v>
      </c>
      <c r="J308" s="14">
        <v>75.509399999999999</v>
      </c>
      <c r="K308" s="2">
        <v>0</v>
      </c>
      <c r="L308" s="18">
        <v>2.8620000000000001</v>
      </c>
      <c r="M308" s="14">
        <v>190941</v>
      </c>
      <c r="N308" s="4">
        <v>0.75</v>
      </c>
      <c r="O308" s="82"/>
      <c r="P308" s="86"/>
      <c r="Q308" s="4"/>
      <c r="R308" s="4" t="b">
        <f t="shared" ca="1" si="15"/>
        <v>0</v>
      </c>
      <c r="S308" s="4" t="b">
        <f t="shared" si="16"/>
        <v>0</v>
      </c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" thickBot="1" x14ac:dyDescent="0.4">
      <c r="A309" s="1" t="s">
        <v>430</v>
      </c>
      <c r="B309" s="1"/>
      <c r="C309" s="10">
        <v>42966</v>
      </c>
      <c r="D309" s="14">
        <v>488</v>
      </c>
      <c r="E309" s="18">
        <v>4.6040000000000001</v>
      </c>
      <c r="F309" s="14">
        <v>0</v>
      </c>
      <c r="G309" s="18">
        <v>0.97399999999999998</v>
      </c>
      <c r="H309" s="18">
        <v>49.87</v>
      </c>
      <c r="I309" s="14">
        <v>1526</v>
      </c>
      <c r="J309" s="14">
        <v>54.333500000000001</v>
      </c>
      <c r="K309" s="2">
        <v>3</v>
      </c>
      <c r="L309" s="18">
        <v>1.484</v>
      </c>
      <c r="M309" s="14">
        <v>189937</v>
      </c>
      <c r="N309" s="4">
        <v>0.55000000000000004</v>
      </c>
      <c r="O309" s="82"/>
      <c r="P309" s="86"/>
      <c r="Q309" s="4"/>
      <c r="R309" s="4" t="b">
        <f t="shared" ca="1" si="15"/>
        <v>0</v>
      </c>
      <c r="S309" s="4" t="b">
        <f t="shared" si="16"/>
        <v>0</v>
      </c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" thickBot="1" x14ac:dyDescent="0.4">
      <c r="A310" s="1" t="s">
        <v>410</v>
      </c>
      <c r="B310" s="1"/>
      <c r="C310" s="10">
        <v>42966</v>
      </c>
      <c r="D310" s="14">
        <v>867</v>
      </c>
      <c r="E310" s="18">
        <v>3.6789999999999998</v>
      </c>
      <c r="F310" s="14">
        <v>0</v>
      </c>
      <c r="G310" s="18">
        <v>0.84399999999999997</v>
      </c>
      <c r="H310" s="18">
        <v>31.75</v>
      </c>
      <c r="I310" s="14">
        <v>2572</v>
      </c>
      <c r="J310" s="14">
        <v>100.0373</v>
      </c>
      <c r="K310" s="2">
        <v>5</v>
      </c>
      <c r="L310" s="18">
        <v>2.1669999999999998</v>
      </c>
      <c r="M310" s="14">
        <v>192701</v>
      </c>
      <c r="N310" s="4">
        <v>1.01</v>
      </c>
      <c r="O310" s="82"/>
      <c r="P310" s="86"/>
      <c r="Q310" s="4"/>
      <c r="R310" s="4" t="b">
        <f t="shared" ca="1" si="15"/>
        <v>0</v>
      </c>
      <c r="S310" s="4" t="b">
        <f t="shared" si="16"/>
        <v>0</v>
      </c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" thickBot="1" x14ac:dyDescent="0.4">
      <c r="A311" s="1" t="s">
        <v>307</v>
      </c>
      <c r="B311" s="1"/>
      <c r="C311" s="10">
        <v>42963</v>
      </c>
      <c r="D311" s="14">
        <v>318</v>
      </c>
      <c r="E311" s="18">
        <v>4.6790000000000003</v>
      </c>
      <c r="F311" s="14">
        <v>0</v>
      </c>
      <c r="G311" s="18">
        <v>1.226</v>
      </c>
      <c r="H311" s="18">
        <v>47.7</v>
      </c>
      <c r="I311" s="14">
        <v>815</v>
      </c>
      <c r="J311" s="14">
        <v>26.454999999999998</v>
      </c>
      <c r="K311" s="2">
        <v>0</v>
      </c>
      <c r="L311" s="18">
        <v>0.998</v>
      </c>
      <c r="M311" s="14">
        <v>183866</v>
      </c>
      <c r="N311" s="4">
        <v>0.31</v>
      </c>
      <c r="O311" s="82"/>
      <c r="P311" s="86"/>
      <c r="Q311" s="4"/>
      <c r="R311" s="4" t="b">
        <f t="shared" ca="1" si="15"/>
        <v>0</v>
      </c>
      <c r="S311" s="4" t="b">
        <f t="shared" si="16"/>
        <v>0</v>
      </c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" thickBot="1" x14ac:dyDescent="0.4">
      <c r="A312" s="1" t="s">
        <v>394</v>
      </c>
      <c r="B312" s="1"/>
      <c r="C312" s="10">
        <v>42959</v>
      </c>
      <c r="D312" s="14">
        <v>476</v>
      </c>
      <c r="E312" s="18">
        <v>5.0970000000000004</v>
      </c>
      <c r="F312" s="14">
        <v>0</v>
      </c>
      <c r="G312" s="18">
        <v>1.35</v>
      </c>
      <c r="H312" s="18">
        <v>43.52</v>
      </c>
      <c r="I312" s="14">
        <v>1194</v>
      </c>
      <c r="J312" s="14">
        <v>44.890700000000002</v>
      </c>
      <c r="K312" s="2">
        <v>0</v>
      </c>
      <c r="L312" s="18">
        <v>1.609</v>
      </c>
      <c r="M312" s="14">
        <v>188292</v>
      </c>
      <c r="N312" s="4">
        <v>0.36</v>
      </c>
      <c r="O312" s="82"/>
      <c r="P312" s="86"/>
      <c r="Q312" s="4"/>
      <c r="R312" s="4" t="b">
        <f t="shared" ca="1" si="15"/>
        <v>0</v>
      </c>
      <c r="S312" s="4" t="b">
        <f t="shared" si="16"/>
        <v>0</v>
      </c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" thickBot="1" x14ac:dyDescent="0.4">
      <c r="A313" s="1" t="s">
        <v>370</v>
      </c>
      <c r="B313" s="1"/>
      <c r="C313" s="10">
        <v>42958</v>
      </c>
      <c r="D313" s="14">
        <v>855</v>
      </c>
      <c r="E313" s="18">
        <v>4.4530000000000003</v>
      </c>
      <c r="F313" s="14">
        <v>0</v>
      </c>
      <c r="G313" s="18">
        <v>0.93300000000000005</v>
      </c>
      <c r="H313" s="18">
        <v>46.96</v>
      </c>
      <c r="I313" s="14">
        <v>2789</v>
      </c>
      <c r="J313" s="14">
        <v>74.587900000000005</v>
      </c>
      <c r="K313" s="2">
        <v>2</v>
      </c>
      <c r="L313" s="18">
        <v>2.5960000000000001</v>
      </c>
      <c r="M313" s="14">
        <v>193309</v>
      </c>
      <c r="N313" s="4">
        <v>1.1100000000000001</v>
      </c>
      <c r="O313" s="82"/>
      <c r="P313" s="86"/>
      <c r="Q313" s="4"/>
      <c r="R313" s="4" t="b">
        <f t="shared" ca="1" si="15"/>
        <v>0</v>
      </c>
      <c r="S313" s="4" t="b">
        <f t="shared" si="16"/>
        <v>0</v>
      </c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" thickBot="1" x14ac:dyDescent="0.4">
      <c r="A314" s="1" t="s">
        <v>213</v>
      </c>
      <c r="B314" s="1"/>
      <c r="C314" s="10">
        <v>42957</v>
      </c>
      <c r="D314" s="14">
        <v>6336</v>
      </c>
      <c r="E314" s="18">
        <v>4.4950000000000001</v>
      </c>
      <c r="F314" s="14">
        <v>52</v>
      </c>
      <c r="G314" s="18">
        <v>2.1669999999999998</v>
      </c>
      <c r="H314" s="18">
        <v>41.77</v>
      </c>
      <c r="I314" s="14">
        <v>9290</v>
      </c>
      <c r="J314" s="14">
        <v>550.80129999999997</v>
      </c>
      <c r="K314" s="2">
        <v>43</v>
      </c>
      <c r="L314" s="18">
        <v>19.890999999999998</v>
      </c>
      <c r="M314" s="14">
        <v>305622</v>
      </c>
      <c r="N314" s="4">
        <v>1.92</v>
      </c>
      <c r="O314" s="82"/>
      <c r="P314" s="86"/>
      <c r="Q314" s="4"/>
      <c r="R314" s="4" t="b">
        <f t="shared" ca="1" si="15"/>
        <v>0</v>
      </c>
      <c r="S314" s="4" t="b">
        <f t="shared" si="16"/>
        <v>0</v>
      </c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" thickBot="1" x14ac:dyDescent="0.4">
      <c r="A315" s="1" t="s">
        <v>225</v>
      </c>
      <c r="B315" s="1"/>
      <c r="C315" s="10">
        <v>42955</v>
      </c>
      <c r="D315" s="14">
        <v>281</v>
      </c>
      <c r="E315" s="18">
        <v>4.3040000000000003</v>
      </c>
      <c r="F315" s="14">
        <v>9</v>
      </c>
      <c r="G315" s="18">
        <v>0.81200000000000006</v>
      </c>
      <c r="H315" s="18">
        <v>48.99</v>
      </c>
      <c r="I315" s="14">
        <v>1014</v>
      </c>
      <c r="J315" s="14">
        <v>25.390899999999998</v>
      </c>
      <c r="K315" s="2">
        <v>1</v>
      </c>
      <c r="L315" s="18">
        <v>0.82199999999999995</v>
      </c>
      <c r="M315" s="14">
        <v>184498</v>
      </c>
      <c r="N315" s="4">
        <v>0.39</v>
      </c>
      <c r="O315" s="82"/>
      <c r="P315" s="86"/>
      <c r="Q315" s="4"/>
      <c r="R315" s="4" t="b">
        <f t="shared" ca="1" si="15"/>
        <v>0</v>
      </c>
      <c r="S315" s="4" t="b">
        <f t="shared" si="16"/>
        <v>0</v>
      </c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" thickBot="1" x14ac:dyDescent="0.4">
      <c r="A316" s="1" t="s">
        <v>234</v>
      </c>
      <c r="B316" s="1"/>
      <c r="C316" s="10">
        <v>42953</v>
      </c>
      <c r="D316" s="14">
        <v>1159</v>
      </c>
      <c r="E316" s="18">
        <v>5.8259999999999996</v>
      </c>
      <c r="F316" s="14">
        <v>0</v>
      </c>
      <c r="G316" s="18">
        <v>1.5640000000000001</v>
      </c>
      <c r="H316" s="18">
        <v>42.97</v>
      </c>
      <c r="I316" s="14">
        <v>2846</v>
      </c>
      <c r="J316" s="14">
        <v>69.3001</v>
      </c>
      <c r="K316" s="2">
        <v>5</v>
      </c>
      <c r="L316" s="18">
        <v>4.444</v>
      </c>
      <c r="M316" s="14">
        <v>171000</v>
      </c>
      <c r="N316" s="4">
        <v>1.31</v>
      </c>
      <c r="O316" s="82"/>
      <c r="P316" s="86"/>
      <c r="Q316" s="4"/>
      <c r="R316" s="4" t="b">
        <f t="shared" ca="1" si="15"/>
        <v>0</v>
      </c>
      <c r="S316" s="4" t="b">
        <f t="shared" si="16"/>
        <v>0</v>
      </c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" thickBot="1" x14ac:dyDescent="0.4">
      <c r="A317" s="1" t="s">
        <v>415</v>
      </c>
      <c r="B317" s="1"/>
      <c r="C317" s="10">
        <v>42951</v>
      </c>
      <c r="D317" s="14">
        <v>747</v>
      </c>
      <c r="E317" s="18">
        <v>3.9169999999999998</v>
      </c>
      <c r="F317" s="14">
        <v>0</v>
      </c>
      <c r="G317" s="18">
        <v>0.76700000000000002</v>
      </c>
      <c r="H317" s="18">
        <v>50.92</v>
      </c>
      <c r="I317" s="14">
        <v>2275</v>
      </c>
      <c r="J317" s="14">
        <v>38.6113</v>
      </c>
      <c r="K317" s="2">
        <v>3</v>
      </c>
      <c r="L317" s="18">
        <v>1.742</v>
      </c>
      <c r="M317" s="14">
        <v>189495</v>
      </c>
      <c r="N317" s="4">
        <v>0.96</v>
      </c>
      <c r="O317" s="82"/>
      <c r="P317" s="86"/>
      <c r="Q317" s="4"/>
      <c r="R317" s="4" t="b">
        <f t="shared" ca="1" si="15"/>
        <v>0</v>
      </c>
      <c r="S317" s="4" t="b">
        <f t="shared" si="16"/>
        <v>0</v>
      </c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" thickBot="1" x14ac:dyDescent="0.4">
      <c r="A318" s="1" t="s">
        <v>272</v>
      </c>
      <c r="B318" s="1"/>
      <c r="C318" s="10">
        <v>42950</v>
      </c>
      <c r="D318" s="14">
        <v>2971</v>
      </c>
      <c r="E318" s="18">
        <v>5.0720000000000001</v>
      </c>
      <c r="F318" s="14">
        <v>0</v>
      </c>
      <c r="G318" s="18">
        <v>1.5880000000000001</v>
      </c>
      <c r="H318" s="18">
        <v>38.270000000000003</v>
      </c>
      <c r="I318" s="14">
        <v>6356</v>
      </c>
      <c r="J318" s="14">
        <v>212.8536</v>
      </c>
      <c r="K318" s="2">
        <v>22</v>
      </c>
      <c r="L318" s="18">
        <v>10.069000000000001</v>
      </c>
      <c r="M318" s="14">
        <v>201235</v>
      </c>
      <c r="N318" s="4">
        <v>2.5099999999999998</v>
      </c>
      <c r="O318" s="82"/>
      <c r="P318" s="86"/>
      <c r="Q318" s="4"/>
      <c r="R318" s="4" t="b">
        <f t="shared" ca="1" si="15"/>
        <v>0</v>
      </c>
      <c r="S318" s="4" t="b">
        <f t="shared" si="16"/>
        <v>0</v>
      </c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" thickBot="1" x14ac:dyDescent="0.4">
      <c r="A319" s="1" t="s">
        <v>334</v>
      </c>
      <c r="B319" s="1"/>
      <c r="C319" s="10">
        <v>42948</v>
      </c>
      <c r="D319" s="14">
        <v>523</v>
      </c>
      <c r="E319" s="18">
        <v>5.0709999999999997</v>
      </c>
      <c r="F319" s="14">
        <v>0</v>
      </c>
      <c r="G319" s="18">
        <v>1.091</v>
      </c>
      <c r="H319" s="18">
        <v>47.45</v>
      </c>
      <c r="I319" s="14">
        <v>1649</v>
      </c>
      <c r="J319" s="14">
        <v>42.599499999999999</v>
      </c>
      <c r="K319" s="2">
        <v>2</v>
      </c>
      <c r="L319" s="18">
        <v>1.796</v>
      </c>
      <c r="M319" s="14">
        <v>187850</v>
      </c>
      <c r="N319" s="4">
        <v>0.65</v>
      </c>
      <c r="O319" s="82"/>
      <c r="P319" s="86"/>
      <c r="Q319" s="4"/>
      <c r="R319" s="4" t="b">
        <f t="shared" ca="1" si="15"/>
        <v>0</v>
      </c>
      <c r="S319" s="4" t="b">
        <f t="shared" si="16"/>
        <v>0</v>
      </c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" thickBot="1" x14ac:dyDescent="0.4">
      <c r="A320" s="1" t="s">
        <v>341</v>
      </c>
      <c r="B320" s="1"/>
      <c r="C320" s="10">
        <v>42947</v>
      </c>
      <c r="D320" s="14">
        <v>4145</v>
      </c>
      <c r="E320" s="18">
        <v>6.4859999999999998</v>
      </c>
      <c r="F320" s="14">
        <v>0</v>
      </c>
      <c r="G320" s="18">
        <v>2.1</v>
      </c>
      <c r="H320" s="18">
        <v>38.68</v>
      </c>
      <c r="I320" s="14">
        <v>8244</v>
      </c>
      <c r="J320" s="14">
        <v>253.3477</v>
      </c>
      <c r="K320" s="2">
        <v>18</v>
      </c>
      <c r="L320" s="18">
        <v>17.286000000000001</v>
      </c>
      <c r="M320" s="14">
        <v>207035</v>
      </c>
      <c r="N320" s="4">
        <v>2.98</v>
      </c>
      <c r="O320" s="82"/>
      <c r="P320" s="86"/>
      <c r="Q320" s="4"/>
      <c r="R320" s="4" t="b">
        <f t="shared" ca="1" si="15"/>
        <v>0</v>
      </c>
      <c r="S320" s="4" t="b">
        <f t="shared" si="16"/>
        <v>0</v>
      </c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" thickBot="1" x14ac:dyDescent="0.4">
      <c r="A321" s="1" t="s">
        <v>301</v>
      </c>
      <c r="B321" s="1"/>
      <c r="C321" s="10">
        <v>42944</v>
      </c>
      <c r="D321" s="14">
        <v>961</v>
      </c>
      <c r="E321" s="18">
        <v>5.6310000000000002</v>
      </c>
      <c r="F321" s="14">
        <v>0</v>
      </c>
      <c r="G321" s="18">
        <v>1.286</v>
      </c>
      <c r="H321" s="18">
        <v>37.619999999999997</v>
      </c>
      <c r="I321" s="14">
        <v>2725</v>
      </c>
      <c r="J321" s="14">
        <v>72.337999999999994</v>
      </c>
      <c r="K321" s="2">
        <v>1</v>
      </c>
      <c r="L321" s="18">
        <v>3.4990000000000001</v>
      </c>
      <c r="M321" s="14">
        <v>184485</v>
      </c>
      <c r="N321" s="4">
        <v>1.08</v>
      </c>
      <c r="O321" s="82"/>
      <c r="P321" s="86"/>
      <c r="Q321" s="4"/>
      <c r="R321" s="4" t="b">
        <f t="shared" ca="1" si="15"/>
        <v>0</v>
      </c>
      <c r="S321" s="4" t="b">
        <f t="shared" si="16"/>
        <v>0</v>
      </c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" thickBot="1" x14ac:dyDescent="0.4">
      <c r="A322" s="1" t="s">
        <v>192</v>
      </c>
      <c r="B322" s="1"/>
      <c r="C322" s="10">
        <v>42942</v>
      </c>
      <c r="D322" s="14">
        <v>3074</v>
      </c>
      <c r="E322" s="18">
        <v>5.0049999999999999</v>
      </c>
      <c r="F322" s="14">
        <v>131</v>
      </c>
      <c r="G322" s="18">
        <v>1.2949999999999999</v>
      </c>
      <c r="H322" s="18">
        <v>33.1</v>
      </c>
      <c r="I322" s="14">
        <v>7539</v>
      </c>
      <c r="J322" s="14">
        <v>163.58920000000001</v>
      </c>
      <c r="K322" s="2">
        <v>16</v>
      </c>
      <c r="L322" s="18">
        <v>9.74</v>
      </c>
      <c r="M322" s="14">
        <v>194385</v>
      </c>
      <c r="N322" s="4">
        <v>2.42</v>
      </c>
      <c r="O322" s="82"/>
      <c r="P322" s="86"/>
      <c r="Q322" s="4"/>
      <c r="R322" s="4" t="b">
        <f t="shared" ref="R322:R385" ca="1" si="17">IF(DATEDIF(C322,TODAY(),"d")&gt;365,FALSE, TRUE)</f>
        <v>0</v>
      </c>
      <c r="S322" s="4" t="b">
        <f t="shared" ref="S322:S385" si="18">IF(I322&lt;15000,FALSE, TRUE)</f>
        <v>0</v>
      </c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" thickBot="1" x14ac:dyDescent="0.4">
      <c r="A323" s="1" t="s">
        <v>361</v>
      </c>
      <c r="B323" s="1"/>
      <c r="C323" s="10">
        <v>42939</v>
      </c>
      <c r="D323" s="14">
        <v>2048</v>
      </c>
      <c r="E323" s="18">
        <v>3.9460000000000002</v>
      </c>
      <c r="F323" s="14">
        <v>0</v>
      </c>
      <c r="G323" s="18">
        <v>0.97699999999999998</v>
      </c>
      <c r="H323" s="18">
        <v>40.57</v>
      </c>
      <c r="I323" s="14">
        <v>5558</v>
      </c>
      <c r="J323" s="14">
        <v>178.50970000000001</v>
      </c>
      <c r="K323" s="2">
        <v>9</v>
      </c>
      <c r="L323" s="18">
        <v>5.423</v>
      </c>
      <c r="M323" s="14">
        <v>205477</v>
      </c>
      <c r="N323" s="4">
        <v>2.11</v>
      </c>
      <c r="O323" s="82"/>
      <c r="P323" s="86"/>
      <c r="Q323" s="4"/>
      <c r="R323" s="4" t="b">
        <f t="shared" ca="1" si="17"/>
        <v>0</v>
      </c>
      <c r="S323" s="4" t="b">
        <f t="shared" si="18"/>
        <v>0</v>
      </c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" thickBot="1" x14ac:dyDescent="0.4">
      <c r="A324" s="1" t="s">
        <v>207</v>
      </c>
      <c r="B324" s="1"/>
      <c r="C324" s="10">
        <v>42935</v>
      </c>
      <c r="D324" s="14">
        <v>5554</v>
      </c>
      <c r="E324" s="18">
        <v>4.2149999999999999</v>
      </c>
      <c r="F324" s="14">
        <v>76</v>
      </c>
      <c r="G324" s="18">
        <v>1.7809999999999999</v>
      </c>
      <c r="H324" s="18">
        <v>49.33</v>
      </c>
      <c r="I324" s="14">
        <v>8560</v>
      </c>
      <c r="J324" s="14">
        <v>391.75349999999997</v>
      </c>
      <c r="K324" s="2">
        <v>23</v>
      </c>
      <c r="L324" s="18">
        <v>15.061</v>
      </c>
      <c r="M324" s="14">
        <v>301912</v>
      </c>
      <c r="N324" s="4">
        <v>1.79</v>
      </c>
      <c r="O324" s="82"/>
      <c r="P324" s="86"/>
      <c r="Q324" s="4"/>
      <c r="R324" s="4" t="b">
        <f t="shared" ca="1" si="17"/>
        <v>0</v>
      </c>
      <c r="S324" s="4" t="b">
        <f t="shared" si="18"/>
        <v>0</v>
      </c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" thickBot="1" x14ac:dyDescent="0.4">
      <c r="A325" s="1" t="s">
        <v>194</v>
      </c>
      <c r="B325" s="1"/>
      <c r="C325" s="10">
        <v>42934</v>
      </c>
      <c r="D325" s="14">
        <v>1253</v>
      </c>
      <c r="E325" s="18">
        <v>4.702</v>
      </c>
      <c r="F325" s="14">
        <v>118</v>
      </c>
      <c r="G325" s="18">
        <v>1.0509999999999999</v>
      </c>
      <c r="H325" s="18">
        <v>47.07</v>
      </c>
      <c r="I325" s="14">
        <v>3773</v>
      </c>
      <c r="J325" s="14">
        <v>141.0968</v>
      </c>
      <c r="K325" s="2">
        <v>2</v>
      </c>
      <c r="L325" s="18">
        <v>3.9590000000000001</v>
      </c>
      <c r="M325" s="14">
        <v>197194</v>
      </c>
      <c r="N325" s="4">
        <v>1.45</v>
      </c>
      <c r="O325" s="82"/>
      <c r="P325" s="86"/>
      <c r="Q325" s="4"/>
      <c r="R325" s="4" t="b">
        <f t="shared" ca="1" si="17"/>
        <v>0</v>
      </c>
      <c r="S325" s="4" t="b">
        <f t="shared" si="18"/>
        <v>0</v>
      </c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" thickBot="1" x14ac:dyDescent="0.4">
      <c r="A326" s="1" t="s">
        <v>191</v>
      </c>
      <c r="B326" s="1"/>
      <c r="C326" s="10">
        <v>42931</v>
      </c>
      <c r="D326" s="14">
        <v>4148</v>
      </c>
      <c r="E326" s="18">
        <v>4.1289999999999996</v>
      </c>
      <c r="F326" s="14">
        <v>153</v>
      </c>
      <c r="G326" s="18">
        <v>1.1519999999999999</v>
      </c>
      <c r="H326" s="18">
        <v>44.96</v>
      </c>
      <c r="I326" s="14">
        <v>9764</v>
      </c>
      <c r="J326" s="14">
        <v>274.39859999999999</v>
      </c>
      <c r="K326" s="2">
        <v>27</v>
      </c>
      <c r="L326" s="18">
        <v>11.241</v>
      </c>
      <c r="M326" s="14">
        <v>199037</v>
      </c>
      <c r="N326" s="4">
        <v>3.82</v>
      </c>
      <c r="O326" s="82"/>
      <c r="P326" s="86"/>
      <c r="Q326" s="4"/>
      <c r="R326" s="4" t="b">
        <f t="shared" ca="1" si="17"/>
        <v>0</v>
      </c>
      <c r="S326" s="4" t="b">
        <f t="shared" si="18"/>
        <v>0</v>
      </c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" thickBot="1" x14ac:dyDescent="0.4">
      <c r="A327" s="1" t="s">
        <v>196</v>
      </c>
      <c r="B327" s="1"/>
      <c r="C327" s="10">
        <v>42928</v>
      </c>
      <c r="D327" s="14">
        <v>3102</v>
      </c>
      <c r="E327" s="18">
        <v>3.4710000000000001</v>
      </c>
      <c r="F327" s="14">
        <v>115</v>
      </c>
      <c r="G327" s="18">
        <v>1.1759999999999999</v>
      </c>
      <c r="H327" s="18">
        <v>53.24</v>
      </c>
      <c r="I327" s="14">
        <v>5838</v>
      </c>
      <c r="J327" s="14">
        <v>183.8843</v>
      </c>
      <c r="K327" s="2">
        <v>9</v>
      </c>
      <c r="L327" s="18">
        <v>6.7960000000000003</v>
      </c>
      <c r="M327" s="14">
        <v>268902</v>
      </c>
      <c r="N327" s="4">
        <v>1.37</v>
      </c>
      <c r="O327" s="82"/>
      <c r="P327" s="86"/>
      <c r="Q327" s="4"/>
      <c r="R327" s="4" t="b">
        <f t="shared" ca="1" si="17"/>
        <v>0</v>
      </c>
      <c r="S327" s="4" t="b">
        <f t="shared" si="18"/>
        <v>0</v>
      </c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" thickBot="1" x14ac:dyDescent="0.4">
      <c r="A328" s="1" t="s">
        <v>208</v>
      </c>
      <c r="B328" s="1"/>
      <c r="C328" s="10">
        <v>42920</v>
      </c>
      <c r="D328" s="14">
        <v>3302</v>
      </c>
      <c r="E328" s="18">
        <v>4.0579999999999998</v>
      </c>
      <c r="F328" s="14">
        <v>61</v>
      </c>
      <c r="G328" s="18">
        <v>1.405</v>
      </c>
      <c r="H328" s="18">
        <v>54.06</v>
      </c>
      <c r="I328" s="14">
        <v>5843</v>
      </c>
      <c r="J328" s="14">
        <v>139.51339999999999</v>
      </c>
      <c r="K328" s="2">
        <v>13</v>
      </c>
      <c r="L328" s="18">
        <v>8.1140000000000008</v>
      </c>
      <c r="M328" s="14">
        <v>298034</v>
      </c>
      <c r="N328" s="4">
        <v>1.33</v>
      </c>
      <c r="O328" s="82"/>
      <c r="P328" s="86"/>
      <c r="Q328" s="4"/>
      <c r="R328" s="4" t="b">
        <f t="shared" ca="1" si="17"/>
        <v>0</v>
      </c>
      <c r="S328" s="4" t="b">
        <f t="shared" si="18"/>
        <v>0</v>
      </c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" thickBot="1" x14ac:dyDescent="0.4">
      <c r="A329" s="1" t="s">
        <v>203</v>
      </c>
      <c r="B329" s="1"/>
      <c r="C329" s="10">
        <v>42910</v>
      </c>
      <c r="D329" s="14">
        <v>7866</v>
      </c>
      <c r="E329" s="18">
        <v>3.7959999999999998</v>
      </c>
      <c r="F329" s="14">
        <v>93</v>
      </c>
      <c r="G329" s="18">
        <v>1.5</v>
      </c>
      <c r="H329" s="18">
        <v>49.53</v>
      </c>
      <c r="I329" s="14">
        <v>12216</v>
      </c>
      <c r="J329" s="14">
        <v>484.10129999999998</v>
      </c>
      <c r="K329" s="2">
        <v>63</v>
      </c>
      <c r="L329" s="18">
        <v>18.152999999999999</v>
      </c>
      <c r="M329" s="14">
        <v>412913</v>
      </c>
      <c r="N329" s="4">
        <v>1.69</v>
      </c>
      <c r="O329" s="82"/>
      <c r="P329" s="86"/>
      <c r="Q329" s="4"/>
      <c r="R329" s="4" t="b">
        <f t="shared" ca="1" si="17"/>
        <v>0</v>
      </c>
      <c r="S329" s="4" t="b">
        <f t="shared" si="18"/>
        <v>0</v>
      </c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" thickBot="1" x14ac:dyDescent="0.4">
      <c r="A330" s="1" t="s">
        <v>177</v>
      </c>
      <c r="B330" s="1"/>
      <c r="C330" s="10">
        <v>42908</v>
      </c>
      <c r="D330" s="14">
        <v>10132</v>
      </c>
      <c r="E330" s="18">
        <v>4.9660000000000002</v>
      </c>
      <c r="F330" s="14">
        <v>259</v>
      </c>
      <c r="G330" s="18">
        <v>2.1219999999999999</v>
      </c>
      <c r="H330" s="18">
        <v>50.79</v>
      </c>
      <c r="I330" s="14">
        <v>15440</v>
      </c>
      <c r="J330" s="14">
        <v>557.68089999999995</v>
      </c>
      <c r="K330" s="2">
        <v>93</v>
      </c>
      <c r="L330" s="18">
        <v>32.491</v>
      </c>
      <c r="M330" s="14">
        <v>445551</v>
      </c>
      <c r="N330" s="4">
        <v>2.33</v>
      </c>
      <c r="O330" s="82"/>
      <c r="P330" s="86"/>
      <c r="Q330" s="4"/>
      <c r="R330" s="4" t="b">
        <f t="shared" ca="1" si="17"/>
        <v>0</v>
      </c>
      <c r="S330" s="4" t="b">
        <f t="shared" si="18"/>
        <v>1</v>
      </c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" thickBot="1" x14ac:dyDescent="0.4">
      <c r="A331" s="1" t="s">
        <v>170</v>
      </c>
      <c r="B331" s="1"/>
      <c r="C331" s="10">
        <v>42906</v>
      </c>
      <c r="D331" s="14">
        <v>37166</v>
      </c>
      <c r="E331" s="18">
        <v>4.2249999999999996</v>
      </c>
      <c r="F331" s="14">
        <v>354</v>
      </c>
      <c r="G331" s="18">
        <v>1.919</v>
      </c>
      <c r="H331" s="18">
        <v>37.659999999999997</v>
      </c>
      <c r="I331" s="14">
        <v>53031</v>
      </c>
      <c r="J331" s="14">
        <v>1930.8369</v>
      </c>
      <c r="K331" s="2">
        <v>516</v>
      </c>
      <c r="L331" s="18">
        <v>101.255</v>
      </c>
      <c r="M331" s="14">
        <v>598777</v>
      </c>
      <c r="N331" s="4">
        <v>5.46</v>
      </c>
      <c r="O331" s="82"/>
      <c r="P331" s="86"/>
      <c r="Q331" s="4"/>
      <c r="R331" s="4" t="b">
        <f t="shared" ca="1" si="17"/>
        <v>0</v>
      </c>
      <c r="S331" s="4" t="b">
        <f t="shared" si="18"/>
        <v>1</v>
      </c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" thickBot="1" x14ac:dyDescent="0.4">
      <c r="A332" s="1" t="s">
        <v>229</v>
      </c>
      <c r="B332" s="1"/>
      <c r="C332" s="10">
        <v>42855</v>
      </c>
      <c r="D332" s="14">
        <v>914</v>
      </c>
      <c r="E332" s="18">
        <v>5.1589999999999998</v>
      </c>
      <c r="F332" s="14">
        <v>4</v>
      </c>
      <c r="G332" s="18">
        <v>0.91400000000000003</v>
      </c>
      <c r="H332" s="18">
        <v>24.74</v>
      </c>
      <c r="I332" s="14">
        <v>3305</v>
      </c>
      <c r="J332" s="14">
        <v>50.176000000000002</v>
      </c>
      <c r="K332" s="2">
        <v>8</v>
      </c>
      <c r="L332" s="18">
        <v>3.0089999999999999</v>
      </c>
      <c r="M332" s="14">
        <v>232355</v>
      </c>
      <c r="N332" s="4">
        <v>1.1299999999999999</v>
      </c>
      <c r="O332" s="82"/>
      <c r="P332" s="86"/>
      <c r="Q332" s="4"/>
      <c r="R332" s="4" t="b">
        <f t="shared" ca="1" si="17"/>
        <v>0</v>
      </c>
      <c r="S332" s="4" t="b">
        <f t="shared" si="18"/>
        <v>0</v>
      </c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" thickBot="1" x14ac:dyDescent="0.4">
      <c r="A333" s="1" t="s">
        <v>228</v>
      </c>
      <c r="B333" s="1"/>
      <c r="C333" s="10">
        <v>42848</v>
      </c>
      <c r="D333" s="14">
        <v>0</v>
      </c>
      <c r="E333" s="19"/>
      <c r="F333" s="14">
        <v>5</v>
      </c>
      <c r="G333" s="18">
        <v>0</v>
      </c>
      <c r="H333" s="18">
        <v>25.35</v>
      </c>
      <c r="I333" s="14">
        <v>2555</v>
      </c>
      <c r="J333" s="14">
        <v>34.000900000000001</v>
      </c>
      <c r="K333" s="2">
        <v>4</v>
      </c>
      <c r="L333" s="18">
        <v>0</v>
      </c>
      <c r="M333" s="14">
        <v>221754</v>
      </c>
      <c r="N333" s="4">
        <v>0.95</v>
      </c>
      <c r="O333" s="82"/>
      <c r="P333" s="86"/>
      <c r="Q333" s="4"/>
      <c r="R333" s="4" t="b">
        <f t="shared" ca="1" si="17"/>
        <v>0</v>
      </c>
      <c r="S333" s="4" t="b">
        <f t="shared" si="18"/>
        <v>0</v>
      </c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" thickBot="1" x14ac:dyDescent="0.4">
      <c r="A334" s="1" t="s">
        <v>270</v>
      </c>
      <c r="B334" s="1"/>
      <c r="C334" s="10">
        <v>42792</v>
      </c>
      <c r="D334" s="14">
        <v>0</v>
      </c>
      <c r="E334" s="19"/>
      <c r="F334" s="14">
        <v>0</v>
      </c>
      <c r="G334" s="18">
        <v>0</v>
      </c>
      <c r="H334" s="18">
        <v>19.64</v>
      </c>
      <c r="I334" s="14">
        <v>3418</v>
      </c>
      <c r="J334" s="14">
        <v>35.996200000000002</v>
      </c>
      <c r="K334" s="2">
        <v>3</v>
      </c>
      <c r="L334" s="18">
        <v>0</v>
      </c>
      <c r="M334" s="14">
        <v>220332</v>
      </c>
      <c r="N334" s="4">
        <v>1.25</v>
      </c>
      <c r="O334" s="82"/>
      <c r="P334" s="86"/>
      <c r="Q334" s="4"/>
      <c r="R334" s="4" t="b">
        <f t="shared" ca="1" si="17"/>
        <v>0</v>
      </c>
      <c r="S334" s="4" t="b">
        <f t="shared" si="18"/>
        <v>0</v>
      </c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" thickBot="1" x14ac:dyDescent="0.4">
      <c r="A335" s="1" t="s">
        <v>226</v>
      </c>
      <c r="B335" s="1"/>
      <c r="C335" s="10">
        <v>42763</v>
      </c>
      <c r="D335" s="14">
        <v>1397</v>
      </c>
      <c r="E335" s="18">
        <v>4.1139999999999999</v>
      </c>
      <c r="F335" s="14">
        <v>6</v>
      </c>
      <c r="G335" s="18">
        <v>0.378</v>
      </c>
      <c r="H335" s="18">
        <v>18.46</v>
      </c>
      <c r="I335" s="14">
        <v>5040</v>
      </c>
      <c r="J335" s="14">
        <v>55.059199999999997</v>
      </c>
      <c r="K335" s="2">
        <v>0</v>
      </c>
      <c r="L335" s="18">
        <v>1.9039999999999999</v>
      </c>
      <c r="M335" s="14">
        <v>196035</v>
      </c>
      <c r="N335" s="4">
        <v>2.15</v>
      </c>
      <c r="O335" s="82"/>
      <c r="P335" s="86"/>
      <c r="Q335" s="4"/>
      <c r="R335" s="4" t="b">
        <f t="shared" ca="1" si="17"/>
        <v>0</v>
      </c>
      <c r="S335" s="4" t="b">
        <f t="shared" si="18"/>
        <v>0</v>
      </c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" thickBot="1" x14ac:dyDescent="0.4">
      <c r="A336" s="1" t="s">
        <v>449</v>
      </c>
      <c r="B336" s="1"/>
      <c r="C336" s="10">
        <v>42753</v>
      </c>
      <c r="D336" s="14">
        <v>0</v>
      </c>
      <c r="E336" s="19"/>
      <c r="F336" s="22"/>
      <c r="G336" s="19"/>
      <c r="H336" s="19"/>
      <c r="I336" s="22"/>
      <c r="J336" s="22"/>
      <c r="K336" s="1"/>
      <c r="L336" s="18">
        <v>0</v>
      </c>
      <c r="M336" s="14">
        <v>7</v>
      </c>
      <c r="N336" s="4">
        <v>0</v>
      </c>
      <c r="O336" s="82"/>
      <c r="P336" s="86"/>
      <c r="Q336" s="4"/>
      <c r="R336" s="4" t="b">
        <f t="shared" ca="1" si="17"/>
        <v>0</v>
      </c>
      <c r="S336" s="4" t="b">
        <f t="shared" si="18"/>
        <v>0</v>
      </c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" thickBot="1" x14ac:dyDescent="0.4">
      <c r="A337" s="1" t="s">
        <v>172</v>
      </c>
      <c r="B337" s="1"/>
      <c r="C337" s="10">
        <v>42739</v>
      </c>
      <c r="D337" s="14">
        <v>9342</v>
      </c>
      <c r="E337" s="18">
        <v>3.1909999999999998</v>
      </c>
      <c r="F337" s="14">
        <v>335</v>
      </c>
      <c r="G337" s="18">
        <v>0.36</v>
      </c>
      <c r="H337" s="18">
        <v>43.14</v>
      </c>
      <c r="I337" s="14">
        <v>25412</v>
      </c>
      <c r="J337" s="14">
        <v>472.03160000000003</v>
      </c>
      <c r="K337" s="2">
        <v>36</v>
      </c>
      <c r="L337" s="18">
        <v>9.1259999999999994</v>
      </c>
      <c r="M337" s="14">
        <v>313492</v>
      </c>
      <c r="N337" s="4">
        <v>6.19</v>
      </c>
      <c r="O337" s="82"/>
      <c r="P337" s="86"/>
      <c r="Q337" s="4"/>
      <c r="R337" s="4" t="b">
        <f t="shared" ca="1" si="17"/>
        <v>0</v>
      </c>
      <c r="S337" s="4" t="b">
        <f t="shared" si="18"/>
        <v>1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" thickBot="1" x14ac:dyDescent="0.4">
      <c r="A338" s="1" t="s">
        <v>371</v>
      </c>
      <c r="B338" s="1"/>
      <c r="C338" s="10">
        <v>42499</v>
      </c>
      <c r="D338" s="14">
        <v>1908</v>
      </c>
      <c r="E338" s="18">
        <v>3.1680000000000001</v>
      </c>
      <c r="F338" s="14">
        <v>0</v>
      </c>
      <c r="G338" s="18">
        <v>0.81699999999999995</v>
      </c>
      <c r="H338" s="18">
        <v>30.47</v>
      </c>
      <c r="I338" s="14">
        <v>4365</v>
      </c>
      <c r="J338" s="14">
        <v>48.404000000000003</v>
      </c>
      <c r="K338" s="2">
        <v>2</v>
      </c>
      <c r="L338" s="18">
        <v>3.5649999999999999</v>
      </c>
      <c r="M338" s="14">
        <v>169304</v>
      </c>
      <c r="N338" s="4">
        <v>1.59</v>
      </c>
      <c r="O338" s="82"/>
      <c r="P338" s="86"/>
      <c r="Q338" s="4"/>
      <c r="R338" s="4" t="b">
        <f t="shared" ca="1" si="17"/>
        <v>0</v>
      </c>
      <c r="S338" s="4" t="b">
        <f t="shared" si="18"/>
        <v>0</v>
      </c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" thickBot="1" x14ac:dyDescent="0.4">
      <c r="A339" s="1" t="s">
        <v>330</v>
      </c>
      <c r="B339" s="1"/>
      <c r="C339" s="10">
        <v>42487</v>
      </c>
      <c r="D339" s="14">
        <v>4201</v>
      </c>
      <c r="E339" s="18">
        <v>3.9009999999999998</v>
      </c>
      <c r="F339" s="14">
        <v>0</v>
      </c>
      <c r="G339" s="18">
        <v>0.91800000000000004</v>
      </c>
      <c r="H339" s="18">
        <v>35.39</v>
      </c>
      <c r="I339" s="14">
        <v>10707</v>
      </c>
      <c r="J339" s="14">
        <v>145.23509999999999</v>
      </c>
      <c r="K339" s="2">
        <v>1</v>
      </c>
      <c r="L339" s="18">
        <v>9.8119999999999994</v>
      </c>
      <c r="M339" s="14">
        <v>172087</v>
      </c>
      <c r="N339" s="4">
        <v>3.65</v>
      </c>
      <c r="O339" s="82"/>
      <c r="P339" s="86"/>
      <c r="Q339" s="4"/>
      <c r="R339" s="4" t="b">
        <f t="shared" ca="1" si="17"/>
        <v>0</v>
      </c>
      <c r="S339" s="4" t="b">
        <f t="shared" si="18"/>
        <v>0</v>
      </c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" thickBot="1" x14ac:dyDescent="0.4">
      <c r="A340" s="1" t="s">
        <v>210</v>
      </c>
      <c r="B340" s="1"/>
      <c r="C340" s="10">
        <v>42465</v>
      </c>
      <c r="D340" s="14">
        <v>5105</v>
      </c>
      <c r="E340" s="18">
        <v>4.1689999999999996</v>
      </c>
      <c r="F340" s="14">
        <v>58</v>
      </c>
      <c r="G340" s="18">
        <v>0.84799999999999998</v>
      </c>
      <c r="H340" s="18">
        <v>22.94</v>
      </c>
      <c r="I340" s="14">
        <v>14715</v>
      </c>
      <c r="J340" s="14">
        <v>139.70480000000001</v>
      </c>
      <c r="K340" s="2">
        <v>9</v>
      </c>
      <c r="L340" s="18">
        <v>12.449</v>
      </c>
      <c r="M340" s="14">
        <v>204788</v>
      </c>
      <c r="N340" s="4">
        <v>6.09</v>
      </c>
      <c r="O340" s="82"/>
      <c r="P340" s="86"/>
      <c r="Q340" s="4"/>
      <c r="R340" s="4" t="b">
        <f t="shared" ca="1" si="17"/>
        <v>0</v>
      </c>
      <c r="S340" s="4" t="b">
        <f t="shared" si="18"/>
        <v>0</v>
      </c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" thickBot="1" x14ac:dyDescent="0.4">
      <c r="A341" s="1" t="s">
        <v>181</v>
      </c>
      <c r="B341" s="1"/>
      <c r="C341" s="10">
        <v>42456</v>
      </c>
      <c r="D341" s="14">
        <v>0</v>
      </c>
      <c r="E341" s="19"/>
      <c r="F341" s="14">
        <v>216</v>
      </c>
      <c r="G341" s="18">
        <v>0</v>
      </c>
      <c r="H341" s="18">
        <v>27.42</v>
      </c>
      <c r="I341" s="14">
        <v>26766</v>
      </c>
      <c r="J341" s="14">
        <v>210.00219999999999</v>
      </c>
      <c r="K341" s="2">
        <v>37</v>
      </c>
      <c r="L341" s="18">
        <v>0</v>
      </c>
      <c r="M341" s="14">
        <v>171274</v>
      </c>
      <c r="N341" s="4">
        <v>13.6</v>
      </c>
      <c r="O341" s="82"/>
      <c r="P341" s="86"/>
      <c r="Q341" s="4"/>
      <c r="R341" s="4" t="b">
        <f t="shared" ca="1" si="17"/>
        <v>0</v>
      </c>
      <c r="S341" s="4" t="b">
        <f t="shared" si="18"/>
        <v>1</v>
      </c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" thickBot="1" x14ac:dyDescent="0.4">
      <c r="A342" s="1" t="s">
        <v>257</v>
      </c>
      <c r="B342" s="1"/>
      <c r="C342" s="10">
        <v>25569</v>
      </c>
      <c r="D342" s="14">
        <v>1</v>
      </c>
      <c r="E342" s="18">
        <v>5</v>
      </c>
      <c r="F342" s="14">
        <v>0</v>
      </c>
      <c r="G342" s="19"/>
      <c r="H342" s="19"/>
      <c r="I342" s="14">
        <v>0</v>
      </c>
      <c r="J342" s="14">
        <v>0</v>
      </c>
      <c r="K342" s="2">
        <v>0</v>
      </c>
      <c r="L342" s="18">
        <v>3.0000000000000001E-3</v>
      </c>
      <c r="M342" s="14">
        <v>2</v>
      </c>
      <c r="N342" s="4">
        <v>0</v>
      </c>
      <c r="O342" s="82"/>
      <c r="P342" s="86"/>
      <c r="Q342" s="4"/>
      <c r="R342" s="4" t="b">
        <f t="shared" ca="1" si="17"/>
        <v>0</v>
      </c>
      <c r="S342" s="4" t="b">
        <f t="shared" si="18"/>
        <v>0</v>
      </c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" thickBot="1" x14ac:dyDescent="0.4">
      <c r="A343" s="1" t="s">
        <v>387</v>
      </c>
      <c r="B343" s="1"/>
      <c r="C343" s="10">
        <v>25569</v>
      </c>
      <c r="D343" s="14">
        <v>1</v>
      </c>
      <c r="E343" s="18">
        <v>10</v>
      </c>
      <c r="F343" s="14">
        <v>0</v>
      </c>
      <c r="G343" s="19"/>
      <c r="H343" s="19"/>
      <c r="I343" s="14">
        <v>0</v>
      </c>
      <c r="J343" s="14">
        <v>0</v>
      </c>
      <c r="K343" s="2">
        <v>0</v>
      </c>
      <c r="L343" s="18">
        <v>6.0000000000000001E-3</v>
      </c>
      <c r="M343" s="14">
        <v>6</v>
      </c>
      <c r="N343" s="4">
        <v>0</v>
      </c>
      <c r="O343" s="82"/>
      <c r="P343" s="86"/>
      <c r="Q343" s="4"/>
      <c r="R343" s="4" t="b">
        <f t="shared" ca="1" si="17"/>
        <v>0</v>
      </c>
      <c r="S343" s="4" t="b">
        <f t="shared" si="18"/>
        <v>0</v>
      </c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" thickBot="1" x14ac:dyDescent="0.4">
      <c r="A344" s="1" t="s">
        <v>267</v>
      </c>
      <c r="B344" s="1"/>
      <c r="C344" s="10">
        <v>25569</v>
      </c>
      <c r="D344" s="14">
        <v>0</v>
      </c>
      <c r="E344" s="19"/>
      <c r="F344" s="14">
        <v>0</v>
      </c>
      <c r="G344" s="18">
        <v>0</v>
      </c>
      <c r="H344" s="18">
        <v>0.51</v>
      </c>
      <c r="I344" s="14">
        <v>1</v>
      </c>
      <c r="J344" s="14">
        <v>2.9999999999999997E-4</v>
      </c>
      <c r="K344" s="2">
        <v>0</v>
      </c>
      <c r="L344" s="18">
        <v>0</v>
      </c>
      <c r="M344" s="14">
        <v>7</v>
      </c>
      <c r="N344" s="4">
        <v>14.29</v>
      </c>
      <c r="O344" s="82"/>
      <c r="P344" s="86"/>
      <c r="Q344" s="4"/>
      <c r="R344" s="4" t="b">
        <f t="shared" ca="1" si="17"/>
        <v>0</v>
      </c>
      <c r="S344" s="4" t="b">
        <f t="shared" si="18"/>
        <v>0</v>
      </c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" thickBot="1" x14ac:dyDescent="0.4">
      <c r="A345" s="1" t="s">
        <v>283</v>
      </c>
      <c r="B345" s="1"/>
      <c r="C345" s="10">
        <v>25569</v>
      </c>
      <c r="D345" s="14">
        <v>0</v>
      </c>
      <c r="E345" s="19"/>
      <c r="F345" s="14">
        <v>0</v>
      </c>
      <c r="G345" s="18">
        <v>0</v>
      </c>
      <c r="H345" s="18">
        <v>99.67</v>
      </c>
      <c r="I345" s="14">
        <v>1</v>
      </c>
      <c r="J345" s="14">
        <v>3.3799999999999997E-2</v>
      </c>
      <c r="K345" s="2">
        <v>0</v>
      </c>
      <c r="L345" s="18">
        <v>0</v>
      </c>
      <c r="M345" s="14">
        <v>10</v>
      </c>
      <c r="N345" s="4">
        <v>0</v>
      </c>
      <c r="O345" s="82"/>
      <c r="P345" s="86"/>
      <c r="Q345" s="4"/>
      <c r="R345" s="4" t="b">
        <f t="shared" ca="1" si="17"/>
        <v>0</v>
      </c>
      <c r="S345" s="4" t="b">
        <f t="shared" si="18"/>
        <v>0</v>
      </c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" thickBot="1" x14ac:dyDescent="0.4">
      <c r="A346" s="1" t="s">
        <v>357</v>
      </c>
      <c r="B346" s="1"/>
      <c r="C346" s="10">
        <v>25569</v>
      </c>
      <c r="D346" s="14">
        <v>0</v>
      </c>
      <c r="E346" s="19"/>
      <c r="F346" s="14">
        <v>0</v>
      </c>
      <c r="G346" s="18">
        <v>0</v>
      </c>
      <c r="H346" s="18">
        <v>7.18</v>
      </c>
      <c r="I346" s="14">
        <v>1</v>
      </c>
      <c r="J346" s="14">
        <v>2.3999999999999998E-3</v>
      </c>
      <c r="K346" s="2">
        <v>0</v>
      </c>
      <c r="L346" s="18">
        <v>0</v>
      </c>
      <c r="M346" s="14">
        <v>6</v>
      </c>
      <c r="N346" s="4">
        <v>16.670000000000002</v>
      </c>
      <c r="O346" s="82"/>
      <c r="P346" s="86"/>
      <c r="Q346" s="4"/>
      <c r="R346" s="4" t="b">
        <f t="shared" ca="1" si="17"/>
        <v>0</v>
      </c>
      <c r="S346" s="4" t="b">
        <f t="shared" si="18"/>
        <v>0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" thickBot="1" x14ac:dyDescent="0.4">
      <c r="A347" s="1" t="s">
        <v>403</v>
      </c>
      <c r="B347" s="1"/>
      <c r="C347" s="10">
        <v>25569</v>
      </c>
      <c r="D347" s="14">
        <v>0</v>
      </c>
      <c r="E347" s="19"/>
      <c r="F347" s="14">
        <v>0</v>
      </c>
      <c r="G347" s="18">
        <v>0</v>
      </c>
      <c r="H347" s="18">
        <v>6.97</v>
      </c>
      <c r="I347" s="14">
        <v>1</v>
      </c>
      <c r="J347" s="14">
        <v>4.7000000000000002E-3</v>
      </c>
      <c r="K347" s="2">
        <v>0</v>
      </c>
      <c r="L347" s="18">
        <v>0</v>
      </c>
      <c r="M347" s="14">
        <v>9</v>
      </c>
      <c r="N347" s="4">
        <v>11.11</v>
      </c>
      <c r="O347" s="82"/>
      <c r="P347" s="86"/>
      <c r="Q347" s="4"/>
      <c r="R347" s="4" t="b">
        <f t="shared" ca="1" si="17"/>
        <v>0</v>
      </c>
      <c r="S347" s="4" t="b">
        <f t="shared" si="18"/>
        <v>0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" thickBot="1" x14ac:dyDescent="0.4">
      <c r="A348" s="1" t="s">
        <v>407</v>
      </c>
      <c r="B348" s="1"/>
      <c r="C348" s="10">
        <v>25569</v>
      </c>
      <c r="D348" s="14">
        <v>0</v>
      </c>
      <c r="E348" s="19"/>
      <c r="F348" s="14">
        <v>0</v>
      </c>
      <c r="G348" s="18">
        <v>0</v>
      </c>
      <c r="H348" s="18">
        <v>1.7</v>
      </c>
      <c r="I348" s="14">
        <v>1</v>
      </c>
      <c r="J348" s="14">
        <v>4.8999999999999998E-3</v>
      </c>
      <c r="K348" s="2">
        <v>0</v>
      </c>
      <c r="L348" s="18">
        <v>0</v>
      </c>
      <c r="M348" s="14">
        <v>16</v>
      </c>
      <c r="N348" s="4">
        <v>0</v>
      </c>
      <c r="O348" s="82"/>
      <c r="P348" s="86"/>
      <c r="Q348" s="4"/>
      <c r="R348" s="4" t="b">
        <f t="shared" ca="1" si="17"/>
        <v>0</v>
      </c>
      <c r="S348" s="4" t="b">
        <f t="shared" si="18"/>
        <v>0</v>
      </c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" thickBot="1" x14ac:dyDescent="0.4">
      <c r="A349" s="1" t="s">
        <v>232</v>
      </c>
      <c r="B349" s="1"/>
      <c r="C349" s="10">
        <v>25569</v>
      </c>
      <c r="D349" s="14">
        <v>0</v>
      </c>
      <c r="E349" s="19"/>
      <c r="F349" s="14">
        <v>0</v>
      </c>
      <c r="G349" s="18">
        <v>0</v>
      </c>
      <c r="H349" s="18">
        <v>9.27</v>
      </c>
      <c r="I349" s="14">
        <v>2</v>
      </c>
      <c r="J349" s="14">
        <v>7.7000000000000002E-3</v>
      </c>
      <c r="K349" s="2">
        <v>0</v>
      </c>
      <c r="L349" s="18">
        <v>0</v>
      </c>
      <c r="M349" s="14">
        <v>2</v>
      </c>
      <c r="N349" s="4">
        <v>50</v>
      </c>
      <c r="O349" s="82"/>
      <c r="P349" s="86"/>
      <c r="Q349" s="4"/>
      <c r="R349" s="4" t="b">
        <f t="shared" ca="1" si="17"/>
        <v>0</v>
      </c>
      <c r="S349" s="4" t="b">
        <f t="shared" si="18"/>
        <v>0</v>
      </c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" thickBot="1" x14ac:dyDescent="0.4">
      <c r="A350" s="1" t="s">
        <v>255</v>
      </c>
      <c r="B350" s="1"/>
      <c r="C350" s="10">
        <v>25569</v>
      </c>
      <c r="D350" s="14">
        <v>0</v>
      </c>
      <c r="E350" s="19"/>
      <c r="F350" s="14">
        <v>0</v>
      </c>
      <c r="G350" s="18">
        <v>0</v>
      </c>
      <c r="H350" s="18">
        <v>55.83</v>
      </c>
      <c r="I350" s="14">
        <v>2</v>
      </c>
      <c r="J350" s="14">
        <v>0.28010000000000002</v>
      </c>
      <c r="K350" s="2">
        <v>0</v>
      </c>
      <c r="L350" s="18">
        <v>0</v>
      </c>
      <c r="M350" s="14">
        <v>6</v>
      </c>
      <c r="N350" s="4">
        <v>0</v>
      </c>
      <c r="O350" s="82"/>
      <c r="P350" s="86"/>
      <c r="Q350" s="4"/>
      <c r="R350" s="4" t="b">
        <f t="shared" ca="1" si="17"/>
        <v>0</v>
      </c>
      <c r="S350" s="4" t="b">
        <f t="shared" si="18"/>
        <v>0</v>
      </c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" thickBot="1" x14ac:dyDescent="0.4">
      <c r="A351" s="1" t="s">
        <v>281</v>
      </c>
      <c r="B351" s="1"/>
      <c r="C351" s="10">
        <v>25569</v>
      </c>
      <c r="D351" s="14">
        <v>0</v>
      </c>
      <c r="E351" s="19"/>
      <c r="F351" s="14">
        <v>0</v>
      </c>
      <c r="G351" s="18">
        <v>0</v>
      </c>
      <c r="H351" s="18">
        <v>22.03</v>
      </c>
      <c r="I351" s="14">
        <v>2</v>
      </c>
      <c r="J351" s="14">
        <v>5.0599999999999999E-2</v>
      </c>
      <c r="K351" s="2">
        <v>0</v>
      </c>
      <c r="L351" s="18">
        <v>0</v>
      </c>
      <c r="M351" s="14">
        <v>20</v>
      </c>
      <c r="N351" s="4">
        <v>0</v>
      </c>
      <c r="O351" s="82"/>
      <c r="P351" s="86"/>
      <c r="Q351" s="4"/>
      <c r="R351" s="4" t="b">
        <f t="shared" ca="1" si="17"/>
        <v>0</v>
      </c>
      <c r="S351" s="4" t="b">
        <f t="shared" si="18"/>
        <v>0</v>
      </c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" thickBot="1" x14ac:dyDescent="0.4">
      <c r="A352" s="1" t="s">
        <v>392</v>
      </c>
      <c r="B352" s="1"/>
      <c r="C352" s="10">
        <v>25569</v>
      </c>
      <c r="D352" s="14">
        <v>0</v>
      </c>
      <c r="E352" s="19"/>
      <c r="F352" s="14">
        <v>0</v>
      </c>
      <c r="G352" s="18">
        <v>0</v>
      </c>
      <c r="H352" s="18">
        <v>92.89</v>
      </c>
      <c r="I352" s="14">
        <v>2</v>
      </c>
      <c r="J352" s="14">
        <v>0.3236</v>
      </c>
      <c r="K352" s="2">
        <v>0</v>
      </c>
      <c r="L352" s="18">
        <v>0</v>
      </c>
      <c r="M352" s="14">
        <v>9</v>
      </c>
      <c r="N352" s="4">
        <v>0</v>
      </c>
      <c r="O352" s="82"/>
      <c r="P352" s="86"/>
      <c r="Q352" s="4"/>
      <c r="R352" s="4" t="b">
        <f t="shared" ca="1" si="17"/>
        <v>0</v>
      </c>
      <c r="S352" s="4" t="b">
        <f t="shared" si="18"/>
        <v>0</v>
      </c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" thickBot="1" x14ac:dyDescent="0.4">
      <c r="A353" s="1" t="s">
        <v>404</v>
      </c>
      <c r="B353" s="1"/>
      <c r="C353" s="10">
        <v>25569</v>
      </c>
      <c r="D353" s="14">
        <v>0</v>
      </c>
      <c r="E353" s="19"/>
      <c r="F353" s="14">
        <v>0</v>
      </c>
      <c r="G353" s="18">
        <v>0</v>
      </c>
      <c r="H353" s="18">
        <v>3.55</v>
      </c>
      <c r="I353" s="14">
        <v>2</v>
      </c>
      <c r="J353" s="14">
        <v>2.1100000000000001E-2</v>
      </c>
      <c r="K353" s="2">
        <v>0</v>
      </c>
      <c r="L353" s="18">
        <v>0</v>
      </c>
      <c r="M353" s="14">
        <v>15</v>
      </c>
      <c r="N353" s="4">
        <v>0</v>
      </c>
      <c r="O353" s="82"/>
      <c r="P353" s="86"/>
      <c r="Q353" s="4"/>
      <c r="R353" s="4" t="b">
        <f t="shared" ca="1" si="17"/>
        <v>0</v>
      </c>
      <c r="S353" s="4" t="b">
        <f t="shared" si="18"/>
        <v>0</v>
      </c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" thickBot="1" x14ac:dyDescent="0.4">
      <c r="A354" s="1" t="s">
        <v>432</v>
      </c>
      <c r="B354" s="1"/>
      <c r="C354" s="10">
        <v>25569</v>
      </c>
      <c r="D354" s="14">
        <v>0</v>
      </c>
      <c r="E354" s="19"/>
      <c r="F354" s="14">
        <v>0</v>
      </c>
      <c r="G354" s="18">
        <v>0</v>
      </c>
      <c r="H354" s="18">
        <v>108.75</v>
      </c>
      <c r="I354" s="14">
        <v>2</v>
      </c>
      <c r="J354" s="14">
        <v>3.6900000000000002E-2</v>
      </c>
      <c r="K354" s="2">
        <v>0</v>
      </c>
      <c r="L354" s="18">
        <v>0</v>
      </c>
      <c r="M354" s="14">
        <v>9</v>
      </c>
      <c r="N354" s="4">
        <v>11.11</v>
      </c>
      <c r="O354" s="82"/>
      <c r="P354" s="86"/>
      <c r="Q354" s="4"/>
      <c r="R354" s="4" t="b">
        <f t="shared" ca="1" si="17"/>
        <v>0</v>
      </c>
      <c r="S354" s="4" t="b">
        <f t="shared" si="18"/>
        <v>0</v>
      </c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" thickBot="1" x14ac:dyDescent="0.4">
      <c r="A355" s="1" t="s">
        <v>238</v>
      </c>
      <c r="B355" s="1"/>
      <c r="C355" s="10">
        <v>25569</v>
      </c>
      <c r="D355" s="14">
        <v>0</v>
      </c>
      <c r="E355" s="19"/>
      <c r="F355" s="14">
        <v>0</v>
      </c>
      <c r="G355" s="18">
        <v>0</v>
      </c>
      <c r="H355" s="18">
        <v>32.33</v>
      </c>
      <c r="I355" s="14">
        <v>3</v>
      </c>
      <c r="J355" s="14">
        <v>0.17749999999999999</v>
      </c>
      <c r="K355" s="2">
        <v>0</v>
      </c>
      <c r="L355" s="18">
        <v>0</v>
      </c>
      <c r="M355" s="14">
        <v>2</v>
      </c>
      <c r="N355" s="4">
        <v>100</v>
      </c>
      <c r="O355" s="82"/>
      <c r="P355" s="86"/>
      <c r="Q355" s="4"/>
      <c r="R355" s="4" t="b">
        <f t="shared" ca="1" si="17"/>
        <v>0</v>
      </c>
      <c r="S355" s="4" t="b">
        <f t="shared" si="18"/>
        <v>0</v>
      </c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" thickBot="1" x14ac:dyDescent="0.4">
      <c r="A356" s="1" t="s">
        <v>286</v>
      </c>
      <c r="B356" s="1"/>
      <c r="C356" s="10">
        <v>25569</v>
      </c>
      <c r="D356" s="14">
        <v>0</v>
      </c>
      <c r="E356" s="19"/>
      <c r="F356" s="14">
        <v>0</v>
      </c>
      <c r="G356" s="18">
        <v>0</v>
      </c>
      <c r="H356" s="18">
        <v>100.33</v>
      </c>
      <c r="I356" s="14">
        <v>3</v>
      </c>
      <c r="J356" s="14">
        <v>0.13550000000000001</v>
      </c>
      <c r="K356" s="2">
        <v>0</v>
      </c>
      <c r="L356" s="18">
        <v>0</v>
      </c>
      <c r="M356" s="14">
        <v>8</v>
      </c>
      <c r="N356" s="4">
        <v>0</v>
      </c>
      <c r="O356" s="82"/>
      <c r="P356" s="86"/>
      <c r="Q356" s="4"/>
      <c r="R356" s="4" t="b">
        <f t="shared" ca="1" si="17"/>
        <v>0</v>
      </c>
      <c r="S356" s="4" t="b">
        <f t="shared" si="18"/>
        <v>0</v>
      </c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" thickBot="1" x14ac:dyDescent="0.4">
      <c r="A357" s="1" t="s">
        <v>331</v>
      </c>
      <c r="B357" s="1"/>
      <c r="C357" s="10">
        <v>25569</v>
      </c>
      <c r="D357" s="14">
        <v>0</v>
      </c>
      <c r="E357" s="19"/>
      <c r="F357" s="14">
        <v>0</v>
      </c>
      <c r="G357" s="18">
        <v>0</v>
      </c>
      <c r="H357" s="18">
        <v>8.6999999999999993</v>
      </c>
      <c r="I357" s="14">
        <v>3</v>
      </c>
      <c r="J357" s="14">
        <v>8.6599999999999996E-2</v>
      </c>
      <c r="K357" s="2">
        <v>0</v>
      </c>
      <c r="L357" s="18">
        <v>0</v>
      </c>
      <c r="M357" s="14">
        <v>6</v>
      </c>
      <c r="N357" s="4">
        <v>0</v>
      </c>
      <c r="O357" s="82"/>
      <c r="P357" s="86"/>
      <c r="Q357" s="4"/>
      <c r="R357" s="4" t="b">
        <f t="shared" ca="1" si="17"/>
        <v>0</v>
      </c>
      <c r="S357" s="4" t="b">
        <f t="shared" si="18"/>
        <v>0</v>
      </c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" thickBot="1" x14ac:dyDescent="0.4">
      <c r="A358" s="1" t="s">
        <v>349</v>
      </c>
      <c r="B358" s="1"/>
      <c r="C358" s="10">
        <v>25569</v>
      </c>
      <c r="D358" s="14">
        <v>0</v>
      </c>
      <c r="E358" s="19"/>
      <c r="F358" s="14">
        <v>0</v>
      </c>
      <c r="G358" s="18">
        <v>0</v>
      </c>
      <c r="H358" s="18">
        <v>33.68</v>
      </c>
      <c r="I358" s="14">
        <v>3</v>
      </c>
      <c r="J358" s="14">
        <v>8.6499999999999994E-2</v>
      </c>
      <c r="K358" s="2">
        <v>0</v>
      </c>
      <c r="L358" s="18">
        <v>0</v>
      </c>
      <c r="M358" s="14">
        <v>1</v>
      </c>
      <c r="N358" s="4">
        <v>100</v>
      </c>
      <c r="O358" s="82"/>
      <c r="P358" s="86"/>
      <c r="Q358" s="4"/>
      <c r="R358" s="4" t="b">
        <f t="shared" ca="1" si="17"/>
        <v>0</v>
      </c>
      <c r="S358" s="4" t="b">
        <f t="shared" si="18"/>
        <v>0</v>
      </c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" thickBot="1" x14ac:dyDescent="0.4">
      <c r="A359" s="1" t="s">
        <v>352</v>
      </c>
      <c r="B359" s="1"/>
      <c r="C359" s="10">
        <v>25569</v>
      </c>
      <c r="D359" s="14">
        <v>0</v>
      </c>
      <c r="E359" s="19"/>
      <c r="F359" s="14">
        <v>0</v>
      </c>
      <c r="G359" s="18">
        <v>0</v>
      </c>
      <c r="H359" s="18">
        <v>5.66</v>
      </c>
      <c r="I359" s="14">
        <v>3</v>
      </c>
      <c r="J359" s="14">
        <v>4.7899999999999998E-2</v>
      </c>
      <c r="K359" s="2">
        <v>0</v>
      </c>
      <c r="L359" s="18">
        <v>0</v>
      </c>
      <c r="M359" s="14">
        <v>14</v>
      </c>
      <c r="N359" s="4">
        <v>0</v>
      </c>
      <c r="O359" s="82"/>
      <c r="P359" s="86"/>
      <c r="Q359" s="4"/>
      <c r="R359" s="4" t="b">
        <f t="shared" ca="1" si="17"/>
        <v>0</v>
      </c>
      <c r="S359" s="4" t="b">
        <f t="shared" si="18"/>
        <v>0</v>
      </c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" thickBot="1" x14ac:dyDescent="0.4">
      <c r="A360" s="1" t="s">
        <v>246</v>
      </c>
      <c r="B360" s="1"/>
      <c r="C360" s="10">
        <v>25569</v>
      </c>
      <c r="D360" s="14">
        <v>0</v>
      </c>
      <c r="E360" s="19"/>
      <c r="F360" s="14">
        <v>0</v>
      </c>
      <c r="G360" s="18">
        <v>0</v>
      </c>
      <c r="H360" s="18">
        <v>16.96</v>
      </c>
      <c r="I360" s="14">
        <v>4</v>
      </c>
      <c r="J360" s="14">
        <v>0.13869999999999999</v>
      </c>
      <c r="K360" s="2">
        <v>0</v>
      </c>
      <c r="L360" s="18">
        <v>0</v>
      </c>
      <c r="M360" s="14">
        <v>17</v>
      </c>
      <c r="N360" s="4">
        <v>0</v>
      </c>
      <c r="O360" s="82"/>
      <c r="P360" s="86"/>
      <c r="Q360" s="4"/>
      <c r="R360" s="4" t="b">
        <f t="shared" ca="1" si="17"/>
        <v>0</v>
      </c>
      <c r="S360" s="4" t="b">
        <f t="shared" si="18"/>
        <v>0</v>
      </c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" thickBot="1" x14ac:dyDescent="0.4">
      <c r="A361" s="1" t="s">
        <v>399</v>
      </c>
      <c r="B361" s="1"/>
      <c r="C361" s="10">
        <v>25569</v>
      </c>
      <c r="D361" s="14">
        <v>0</v>
      </c>
      <c r="E361" s="19"/>
      <c r="F361" s="14">
        <v>0</v>
      </c>
      <c r="G361" s="18">
        <v>0</v>
      </c>
      <c r="H361" s="18">
        <v>2.96</v>
      </c>
      <c r="I361" s="14">
        <v>4</v>
      </c>
      <c r="J361" s="14">
        <v>3.0200000000000001E-2</v>
      </c>
      <c r="K361" s="2">
        <v>0</v>
      </c>
      <c r="L361" s="18">
        <v>0</v>
      </c>
      <c r="M361" s="14">
        <v>0</v>
      </c>
      <c r="N361" s="3"/>
      <c r="O361" s="82"/>
      <c r="P361" s="86"/>
      <c r="Q361" s="4"/>
      <c r="R361" s="4" t="b">
        <f t="shared" ca="1" si="17"/>
        <v>0</v>
      </c>
      <c r="S361" s="4" t="b">
        <f t="shared" si="18"/>
        <v>0</v>
      </c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" thickBot="1" x14ac:dyDescent="0.4">
      <c r="A362" s="1" t="s">
        <v>328</v>
      </c>
      <c r="B362" s="1"/>
      <c r="C362" s="10">
        <v>25569</v>
      </c>
      <c r="D362" s="14">
        <v>0</v>
      </c>
      <c r="E362" s="19"/>
      <c r="F362" s="14">
        <v>0</v>
      </c>
      <c r="G362" s="18">
        <v>0</v>
      </c>
      <c r="H362" s="18">
        <v>63.53</v>
      </c>
      <c r="I362" s="14">
        <v>5</v>
      </c>
      <c r="J362" s="14">
        <v>6.4399999999999999E-2</v>
      </c>
      <c r="K362" s="2">
        <v>0</v>
      </c>
      <c r="L362" s="18">
        <v>0</v>
      </c>
      <c r="M362" s="14">
        <v>13</v>
      </c>
      <c r="N362" s="4">
        <v>0</v>
      </c>
      <c r="O362" s="82"/>
      <c r="P362" s="86"/>
      <c r="Q362" s="4"/>
      <c r="R362" s="4" t="b">
        <f t="shared" ca="1" si="17"/>
        <v>0</v>
      </c>
      <c r="S362" s="4" t="b">
        <f t="shared" si="18"/>
        <v>0</v>
      </c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" thickBot="1" x14ac:dyDescent="0.4">
      <c r="A363" s="1" t="s">
        <v>250</v>
      </c>
      <c r="B363" s="1"/>
      <c r="C363" s="10">
        <v>25569</v>
      </c>
      <c r="D363" s="14">
        <v>0</v>
      </c>
      <c r="E363" s="19"/>
      <c r="F363" s="14">
        <v>0</v>
      </c>
      <c r="G363" s="18">
        <v>0</v>
      </c>
      <c r="H363" s="18">
        <v>14.96</v>
      </c>
      <c r="I363" s="14">
        <v>6</v>
      </c>
      <c r="J363" s="14">
        <v>0.2278</v>
      </c>
      <c r="K363" s="2">
        <v>0</v>
      </c>
      <c r="L363" s="18">
        <v>0</v>
      </c>
      <c r="M363" s="14">
        <v>20</v>
      </c>
      <c r="N363" s="4">
        <v>5</v>
      </c>
      <c r="O363" s="82"/>
      <c r="P363" s="86"/>
      <c r="Q363" s="4"/>
      <c r="R363" s="4" t="b">
        <f t="shared" ca="1" si="17"/>
        <v>0</v>
      </c>
      <c r="S363" s="4" t="b">
        <f t="shared" si="18"/>
        <v>0</v>
      </c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" thickBot="1" x14ac:dyDescent="0.4">
      <c r="A364" s="1" t="s">
        <v>441</v>
      </c>
      <c r="B364" s="1"/>
      <c r="C364" s="10">
        <v>25569</v>
      </c>
      <c r="D364" s="14">
        <v>0</v>
      </c>
      <c r="E364" s="19"/>
      <c r="F364" s="14">
        <v>0</v>
      </c>
      <c r="G364" s="18">
        <v>0</v>
      </c>
      <c r="H364" s="18">
        <v>7.07</v>
      </c>
      <c r="I364" s="14">
        <v>6</v>
      </c>
      <c r="J364" s="14">
        <v>0.11119999999999999</v>
      </c>
      <c r="K364" s="2">
        <v>0</v>
      </c>
      <c r="L364" s="18">
        <v>0</v>
      </c>
      <c r="M364" s="14">
        <v>17</v>
      </c>
      <c r="N364" s="4">
        <v>5.88</v>
      </c>
      <c r="O364" s="82"/>
      <c r="P364" s="86"/>
      <c r="Q364" s="4"/>
      <c r="R364" s="4" t="b">
        <f t="shared" ca="1" si="17"/>
        <v>0</v>
      </c>
      <c r="S364" s="4" t="b">
        <f t="shared" si="18"/>
        <v>0</v>
      </c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" thickBot="1" x14ac:dyDescent="0.4">
      <c r="A365" s="1" t="s">
        <v>320</v>
      </c>
      <c r="B365" s="1"/>
      <c r="C365" s="10">
        <v>25569</v>
      </c>
      <c r="D365" s="14">
        <v>1</v>
      </c>
      <c r="E365" s="18">
        <v>8</v>
      </c>
      <c r="F365" s="14">
        <v>0</v>
      </c>
      <c r="G365" s="18">
        <v>0.71399999999999997</v>
      </c>
      <c r="H365" s="18">
        <v>67.98</v>
      </c>
      <c r="I365" s="14">
        <v>7</v>
      </c>
      <c r="J365" s="14">
        <v>1.0996999999999999</v>
      </c>
      <c r="K365" s="2">
        <v>0</v>
      </c>
      <c r="L365" s="18">
        <v>5.0000000000000001E-3</v>
      </c>
      <c r="M365" s="14">
        <v>7</v>
      </c>
      <c r="N365" s="4">
        <v>0</v>
      </c>
      <c r="O365" s="82"/>
      <c r="P365" s="86"/>
      <c r="Q365" s="4"/>
      <c r="R365" s="4" t="b">
        <f t="shared" ca="1" si="17"/>
        <v>0</v>
      </c>
      <c r="S365" s="4" t="b">
        <f t="shared" si="18"/>
        <v>0</v>
      </c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" thickBot="1" x14ac:dyDescent="0.4">
      <c r="A366" s="1" t="s">
        <v>426</v>
      </c>
      <c r="B366" s="1"/>
      <c r="C366" s="10">
        <v>25569</v>
      </c>
      <c r="D366" s="14">
        <v>0</v>
      </c>
      <c r="E366" s="19"/>
      <c r="F366" s="14">
        <v>0</v>
      </c>
      <c r="G366" s="18">
        <v>0</v>
      </c>
      <c r="H366" s="18">
        <v>5.43</v>
      </c>
      <c r="I366" s="14">
        <v>7</v>
      </c>
      <c r="J366" s="14">
        <v>0.1103</v>
      </c>
      <c r="K366" s="2">
        <v>0</v>
      </c>
      <c r="L366" s="18">
        <v>0</v>
      </c>
      <c r="M366" s="14">
        <v>15</v>
      </c>
      <c r="N366" s="4">
        <v>0</v>
      </c>
      <c r="O366" s="82"/>
      <c r="P366" s="86"/>
      <c r="Q366" s="4"/>
      <c r="R366" s="4" t="b">
        <f t="shared" ca="1" si="17"/>
        <v>0</v>
      </c>
      <c r="S366" s="4" t="b">
        <f t="shared" si="18"/>
        <v>0</v>
      </c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" thickBot="1" x14ac:dyDescent="0.4">
      <c r="A367" s="1" t="s">
        <v>258</v>
      </c>
      <c r="B367" s="1"/>
      <c r="C367" s="10">
        <v>25569</v>
      </c>
      <c r="D367" s="14">
        <v>1</v>
      </c>
      <c r="E367" s="18">
        <v>14</v>
      </c>
      <c r="F367" s="14">
        <v>0</v>
      </c>
      <c r="G367" s="18">
        <v>1</v>
      </c>
      <c r="H367" s="18">
        <v>46.48</v>
      </c>
      <c r="I367" s="14">
        <v>8</v>
      </c>
      <c r="J367" s="14">
        <v>0.61970000000000003</v>
      </c>
      <c r="K367" s="2">
        <v>0</v>
      </c>
      <c r="L367" s="18">
        <v>8.0000000000000002E-3</v>
      </c>
      <c r="M367" s="14">
        <v>7</v>
      </c>
      <c r="N367" s="4">
        <v>0</v>
      </c>
      <c r="O367" s="82"/>
      <c r="P367" s="86"/>
      <c r="Q367" s="4"/>
      <c r="R367" s="4" t="b">
        <f t="shared" ca="1" si="17"/>
        <v>0</v>
      </c>
      <c r="S367" s="4" t="b">
        <f t="shared" si="18"/>
        <v>0</v>
      </c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" thickBot="1" x14ac:dyDescent="0.4">
      <c r="A368" s="1" t="s">
        <v>329</v>
      </c>
      <c r="B368" s="1"/>
      <c r="C368" s="10">
        <v>25569</v>
      </c>
      <c r="D368" s="14">
        <v>2</v>
      </c>
      <c r="E368" s="18">
        <v>16</v>
      </c>
      <c r="F368" s="14">
        <v>0</v>
      </c>
      <c r="G368" s="18">
        <v>2.25</v>
      </c>
      <c r="H368" s="18">
        <v>31.64</v>
      </c>
      <c r="I368" s="14">
        <v>8</v>
      </c>
      <c r="J368" s="14">
        <v>0.68620000000000003</v>
      </c>
      <c r="K368" s="2">
        <v>0</v>
      </c>
      <c r="L368" s="18">
        <v>1.7999999999999999E-2</v>
      </c>
      <c r="M368" s="14">
        <v>1</v>
      </c>
      <c r="N368" s="4">
        <v>0</v>
      </c>
      <c r="O368" s="82"/>
      <c r="P368" s="86"/>
      <c r="Q368" s="4"/>
      <c r="R368" s="4" t="b">
        <f t="shared" ca="1" si="17"/>
        <v>0</v>
      </c>
      <c r="S368" s="4" t="b">
        <f t="shared" si="18"/>
        <v>0</v>
      </c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" thickBot="1" x14ac:dyDescent="0.4">
      <c r="A369" s="1" t="s">
        <v>303</v>
      </c>
      <c r="B369" s="1"/>
      <c r="C369" s="10">
        <v>25569</v>
      </c>
      <c r="D369" s="14">
        <v>0</v>
      </c>
      <c r="E369" s="19"/>
      <c r="F369" s="14">
        <v>0</v>
      </c>
      <c r="G369" s="18">
        <v>0</v>
      </c>
      <c r="H369" s="18">
        <v>50.41</v>
      </c>
      <c r="I369" s="14">
        <v>9</v>
      </c>
      <c r="J369" s="14">
        <v>0.1827</v>
      </c>
      <c r="K369" s="2">
        <v>1</v>
      </c>
      <c r="L369" s="18">
        <v>0</v>
      </c>
      <c r="M369" s="14">
        <v>27</v>
      </c>
      <c r="N369" s="4">
        <v>0</v>
      </c>
      <c r="O369" s="82"/>
      <c r="P369" s="86"/>
      <c r="Q369" s="4"/>
      <c r="R369" s="4" t="b">
        <f t="shared" ca="1" si="17"/>
        <v>0</v>
      </c>
      <c r="S369" s="4" t="b">
        <f t="shared" si="18"/>
        <v>0</v>
      </c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" thickBot="1" x14ac:dyDescent="0.4">
      <c r="A370" s="1" t="s">
        <v>271</v>
      </c>
      <c r="B370" s="1"/>
      <c r="C370" s="10">
        <v>25569</v>
      </c>
      <c r="D370" s="14">
        <v>0</v>
      </c>
      <c r="E370" s="19"/>
      <c r="F370" s="14">
        <v>0</v>
      </c>
      <c r="G370" s="18">
        <v>0</v>
      </c>
      <c r="H370" s="18">
        <v>63.08</v>
      </c>
      <c r="I370" s="14">
        <v>11</v>
      </c>
      <c r="J370" s="14">
        <v>0.9617</v>
      </c>
      <c r="K370" s="2">
        <v>0</v>
      </c>
      <c r="L370" s="18">
        <v>0</v>
      </c>
      <c r="M370" s="14">
        <v>10</v>
      </c>
      <c r="N370" s="4">
        <v>0</v>
      </c>
      <c r="O370" s="82"/>
      <c r="P370" s="86"/>
      <c r="Q370" s="4"/>
      <c r="R370" s="4" t="b">
        <f t="shared" ca="1" si="17"/>
        <v>0</v>
      </c>
      <c r="S370" s="4" t="b">
        <f t="shared" si="18"/>
        <v>0</v>
      </c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" thickBot="1" x14ac:dyDescent="0.4">
      <c r="A371" s="1" t="s">
        <v>356</v>
      </c>
      <c r="B371" s="1"/>
      <c r="C371" s="10">
        <v>25569</v>
      </c>
      <c r="D371" s="14">
        <v>0</v>
      </c>
      <c r="E371" s="19"/>
      <c r="F371" s="14">
        <v>0</v>
      </c>
      <c r="G371" s="18">
        <v>0</v>
      </c>
      <c r="H371" s="18">
        <v>24.81</v>
      </c>
      <c r="I371" s="14">
        <v>12</v>
      </c>
      <c r="J371" s="14">
        <v>0.4209</v>
      </c>
      <c r="K371" s="2">
        <v>0</v>
      </c>
      <c r="L371" s="18">
        <v>0</v>
      </c>
      <c r="M371" s="14">
        <v>4</v>
      </c>
      <c r="N371" s="4">
        <v>25</v>
      </c>
      <c r="O371" s="82"/>
      <c r="P371" s="86"/>
      <c r="Q371" s="4"/>
      <c r="R371" s="4" t="b">
        <f t="shared" ca="1" si="17"/>
        <v>0</v>
      </c>
      <c r="S371" s="4" t="b">
        <f t="shared" si="18"/>
        <v>0</v>
      </c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" thickBot="1" x14ac:dyDescent="0.4">
      <c r="A372" s="1" t="s">
        <v>233</v>
      </c>
      <c r="B372" s="1"/>
      <c r="C372" s="10">
        <v>25569</v>
      </c>
      <c r="D372" s="14">
        <v>0</v>
      </c>
      <c r="E372" s="19"/>
      <c r="F372" s="14">
        <v>0</v>
      </c>
      <c r="G372" s="18">
        <v>0</v>
      </c>
      <c r="H372" s="18">
        <v>100.01</v>
      </c>
      <c r="I372" s="14">
        <v>13</v>
      </c>
      <c r="J372" s="14">
        <v>0.80530000000000002</v>
      </c>
      <c r="K372" s="2">
        <v>0</v>
      </c>
      <c r="L372" s="18">
        <v>0</v>
      </c>
      <c r="M372" s="14">
        <v>10</v>
      </c>
      <c r="N372" s="4">
        <v>20</v>
      </c>
      <c r="O372" s="82"/>
      <c r="P372" s="86"/>
      <c r="Q372" s="4"/>
      <c r="R372" s="4" t="b">
        <f t="shared" ca="1" si="17"/>
        <v>0</v>
      </c>
      <c r="S372" s="4" t="b">
        <f t="shared" si="18"/>
        <v>0</v>
      </c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" thickBot="1" x14ac:dyDescent="0.4">
      <c r="A373" s="1" t="s">
        <v>385</v>
      </c>
      <c r="B373" s="1"/>
      <c r="C373" s="10">
        <v>25569</v>
      </c>
      <c r="D373" s="14">
        <v>0</v>
      </c>
      <c r="E373" s="19"/>
      <c r="F373" s="14">
        <v>0</v>
      </c>
      <c r="G373" s="18">
        <v>0</v>
      </c>
      <c r="H373" s="18">
        <v>40.49</v>
      </c>
      <c r="I373" s="14">
        <v>14</v>
      </c>
      <c r="J373" s="14">
        <v>0.65980000000000005</v>
      </c>
      <c r="K373" s="2">
        <v>0</v>
      </c>
      <c r="L373" s="18">
        <v>0</v>
      </c>
      <c r="M373" s="14">
        <v>18</v>
      </c>
      <c r="N373" s="4">
        <v>0</v>
      </c>
      <c r="O373" s="82"/>
      <c r="P373" s="86"/>
      <c r="Q373" s="4"/>
      <c r="R373" s="4" t="b">
        <f t="shared" ca="1" si="17"/>
        <v>0</v>
      </c>
      <c r="S373" s="4" t="b">
        <f t="shared" si="18"/>
        <v>0</v>
      </c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" thickBot="1" x14ac:dyDescent="0.4">
      <c r="A374" s="1" t="s">
        <v>260</v>
      </c>
      <c r="B374" s="1"/>
      <c r="C374" s="10">
        <v>25569</v>
      </c>
      <c r="D374" s="14">
        <v>0</v>
      </c>
      <c r="E374" s="19"/>
      <c r="F374" s="14">
        <v>0</v>
      </c>
      <c r="G374" s="18">
        <v>0</v>
      </c>
      <c r="H374" s="18">
        <v>1.91</v>
      </c>
      <c r="I374" s="14">
        <v>15</v>
      </c>
      <c r="J374" s="14">
        <v>0.62580000000000002</v>
      </c>
      <c r="K374" s="2">
        <v>0</v>
      </c>
      <c r="L374" s="18">
        <v>0</v>
      </c>
      <c r="M374" s="14">
        <v>17</v>
      </c>
      <c r="N374" s="4">
        <v>5.88</v>
      </c>
      <c r="O374" s="82"/>
      <c r="P374" s="86"/>
      <c r="Q374" s="4"/>
      <c r="R374" s="4" t="b">
        <f t="shared" ca="1" si="17"/>
        <v>0</v>
      </c>
      <c r="S374" s="4" t="b">
        <f t="shared" si="18"/>
        <v>0</v>
      </c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" thickBot="1" x14ac:dyDescent="0.4">
      <c r="A375" s="1" t="s">
        <v>242</v>
      </c>
      <c r="B375" s="1"/>
      <c r="C375" s="10">
        <v>25569</v>
      </c>
      <c r="D375" s="14">
        <v>10</v>
      </c>
      <c r="E375" s="18">
        <v>16.181999999999999</v>
      </c>
      <c r="F375" s="14">
        <v>0</v>
      </c>
      <c r="G375" s="18">
        <v>5.444</v>
      </c>
      <c r="H375" s="18">
        <v>30.25</v>
      </c>
      <c r="I375" s="14">
        <v>18</v>
      </c>
      <c r="J375" s="14">
        <v>1.2962</v>
      </c>
      <c r="K375" s="2">
        <v>0</v>
      </c>
      <c r="L375" s="18">
        <v>9.8000000000000004E-2</v>
      </c>
      <c r="M375" s="14">
        <v>6</v>
      </c>
      <c r="N375" s="4">
        <v>0</v>
      </c>
      <c r="O375" s="82"/>
      <c r="P375" s="86"/>
      <c r="Q375" s="4"/>
      <c r="R375" s="4" t="b">
        <f t="shared" ca="1" si="17"/>
        <v>0</v>
      </c>
      <c r="S375" s="4" t="b">
        <f t="shared" si="18"/>
        <v>0</v>
      </c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" thickBot="1" x14ac:dyDescent="0.4">
      <c r="A376" s="1" t="s">
        <v>327</v>
      </c>
      <c r="B376" s="1"/>
      <c r="C376" s="10">
        <v>25569</v>
      </c>
      <c r="D376" s="14">
        <v>0</v>
      </c>
      <c r="E376" s="19"/>
      <c r="F376" s="14">
        <v>0</v>
      </c>
      <c r="G376" s="18">
        <v>0</v>
      </c>
      <c r="H376" s="18">
        <v>51.22</v>
      </c>
      <c r="I376" s="14">
        <v>19</v>
      </c>
      <c r="J376" s="14">
        <v>1.8489</v>
      </c>
      <c r="K376" s="2">
        <v>0</v>
      </c>
      <c r="L376" s="18">
        <v>0</v>
      </c>
      <c r="M376" s="14">
        <v>16</v>
      </c>
      <c r="N376" s="4">
        <v>0</v>
      </c>
      <c r="O376" s="82"/>
      <c r="P376" s="86"/>
      <c r="Q376" s="4"/>
      <c r="R376" s="4" t="b">
        <f t="shared" ca="1" si="17"/>
        <v>0</v>
      </c>
      <c r="S376" s="4" t="b">
        <f t="shared" si="18"/>
        <v>0</v>
      </c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" thickBot="1" x14ac:dyDescent="0.4">
      <c r="A377" s="1" t="s">
        <v>294</v>
      </c>
      <c r="B377" s="1"/>
      <c r="C377" s="10">
        <v>25569</v>
      </c>
      <c r="D377" s="14">
        <v>0</v>
      </c>
      <c r="E377" s="19"/>
      <c r="F377" s="14">
        <v>0</v>
      </c>
      <c r="G377" s="18">
        <v>0</v>
      </c>
      <c r="H377" s="18">
        <v>85.21</v>
      </c>
      <c r="I377" s="14">
        <v>20</v>
      </c>
      <c r="J377" s="14">
        <v>0.91959999999999997</v>
      </c>
      <c r="K377" s="2">
        <v>0</v>
      </c>
      <c r="L377" s="18">
        <v>0</v>
      </c>
      <c r="M377" s="14">
        <v>0</v>
      </c>
      <c r="N377" s="3"/>
      <c r="O377" s="82"/>
      <c r="P377" s="86"/>
      <c r="Q377" s="4"/>
      <c r="R377" s="4" t="b">
        <f t="shared" ca="1" si="17"/>
        <v>0</v>
      </c>
      <c r="S377" s="4" t="b">
        <f t="shared" si="18"/>
        <v>0</v>
      </c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" thickBot="1" x14ac:dyDescent="0.4">
      <c r="A378" s="1" t="s">
        <v>395</v>
      </c>
      <c r="B378" s="1"/>
      <c r="C378" s="10">
        <v>25569</v>
      </c>
      <c r="D378" s="14">
        <v>0</v>
      </c>
      <c r="E378" s="19"/>
      <c r="F378" s="14">
        <v>0</v>
      </c>
      <c r="G378" s="18">
        <v>0</v>
      </c>
      <c r="H378" s="18">
        <v>12.39</v>
      </c>
      <c r="I378" s="14">
        <v>20</v>
      </c>
      <c r="J378" s="14">
        <v>1.3555999999999999</v>
      </c>
      <c r="K378" s="2">
        <v>0</v>
      </c>
      <c r="L378" s="18">
        <v>0</v>
      </c>
      <c r="M378" s="14">
        <v>13</v>
      </c>
      <c r="N378" s="4">
        <v>0</v>
      </c>
      <c r="O378" s="82"/>
      <c r="P378" s="86"/>
      <c r="Q378" s="4"/>
      <c r="R378" s="4" t="b">
        <f t="shared" ca="1" si="17"/>
        <v>0</v>
      </c>
      <c r="S378" s="4" t="b">
        <f t="shared" si="18"/>
        <v>0</v>
      </c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" thickBot="1" x14ac:dyDescent="0.4">
      <c r="A379" s="1" t="s">
        <v>239</v>
      </c>
      <c r="B379" s="1"/>
      <c r="C379" s="10">
        <v>25569</v>
      </c>
      <c r="D379" s="14">
        <v>0</v>
      </c>
      <c r="E379" s="19"/>
      <c r="F379" s="14">
        <v>0</v>
      </c>
      <c r="G379" s="18">
        <v>0</v>
      </c>
      <c r="H379" s="18">
        <v>56.91</v>
      </c>
      <c r="I379" s="14">
        <v>24</v>
      </c>
      <c r="J379" s="14">
        <v>0.76639999999999997</v>
      </c>
      <c r="K379" s="2">
        <v>0</v>
      </c>
      <c r="L379" s="18">
        <v>0</v>
      </c>
      <c r="M379" s="14">
        <v>7</v>
      </c>
      <c r="N379" s="4">
        <v>0</v>
      </c>
      <c r="O379" s="82"/>
      <c r="P379" s="86"/>
      <c r="Q379" s="4"/>
      <c r="R379" s="4" t="b">
        <f t="shared" ca="1" si="17"/>
        <v>0</v>
      </c>
      <c r="S379" s="4" t="b">
        <f t="shared" si="18"/>
        <v>0</v>
      </c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" thickBot="1" x14ac:dyDescent="0.4">
      <c r="A380" s="1" t="s">
        <v>290</v>
      </c>
      <c r="B380" s="1"/>
      <c r="C380" s="10">
        <v>25569</v>
      </c>
      <c r="D380" s="14">
        <v>0</v>
      </c>
      <c r="E380" s="19"/>
      <c r="F380" s="14">
        <v>0</v>
      </c>
      <c r="G380" s="18">
        <v>0</v>
      </c>
      <c r="H380" s="18">
        <v>26.09</v>
      </c>
      <c r="I380" s="14">
        <v>24</v>
      </c>
      <c r="J380" s="14">
        <v>0.54779999999999995</v>
      </c>
      <c r="K380" s="2">
        <v>1</v>
      </c>
      <c r="L380" s="18">
        <v>0</v>
      </c>
      <c r="M380" s="14">
        <v>15</v>
      </c>
      <c r="N380" s="4">
        <v>6.67</v>
      </c>
      <c r="O380" s="82"/>
      <c r="P380" s="86"/>
      <c r="Q380" s="4"/>
      <c r="R380" s="4" t="b">
        <f t="shared" ca="1" si="17"/>
        <v>0</v>
      </c>
      <c r="S380" s="4" t="b">
        <f t="shared" si="18"/>
        <v>0</v>
      </c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" thickBot="1" x14ac:dyDescent="0.4">
      <c r="A381" s="1" t="s">
        <v>346</v>
      </c>
      <c r="B381" s="1"/>
      <c r="C381" s="10">
        <v>25569</v>
      </c>
      <c r="D381" s="14">
        <v>0</v>
      </c>
      <c r="E381" s="19"/>
      <c r="F381" s="14">
        <v>0</v>
      </c>
      <c r="G381" s="18">
        <v>0</v>
      </c>
      <c r="H381" s="18">
        <v>15.68</v>
      </c>
      <c r="I381" s="14">
        <v>28</v>
      </c>
      <c r="J381" s="14">
        <v>7.4923999999999999</v>
      </c>
      <c r="K381" s="2">
        <v>0</v>
      </c>
      <c r="L381" s="18">
        <v>0</v>
      </c>
      <c r="M381" s="14">
        <v>8</v>
      </c>
      <c r="N381" s="4">
        <v>0</v>
      </c>
      <c r="O381" s="82"/>
      <c r="P381" s="86"/>
      <c r="Q381" s="4"/>
      <c r="R381" s="4" t="b">
        <f t="shared" ca="1" si="17"/>
        <v>0</v>
      </c>
      <c r="S381" s="4" t="b">
        <f t="shared" si="18"/>
        <v>0</v>
      </c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" thickBot="1" x14ac:dyDescent="0.4">
      <c r="A382" s="1" t="s">
        <v>409</v>
      </c>
      <c r="B382" s="1"/>
      <c r="C382" s="10">
        <v>25569</v>
      </c>
      <c r="D382" s="14">
        <v>0</v>
      </c>
      <c r="E382" s="19"/>
      <c r="F382" s="14">
        <v>0</v>
      </c>
      <c r="G382" s="18">
        <v>0</v>
      </c>
      <c r="H382" s="18">
        <v>59.34</v>
      </c>
      <c r="I382" s="14">
        <v>30</v>
      </c>
      <c r="J382" s="14">
        <v>1.6662999999999999</v>
      </c>
      <c r="K382" s="2">
        <v>0</v>
      </c>
      <c r="L382" s="18">
        <v>0</v>
      </c>
      <c r="M382" s="14">
        <v>17</v>
      </c>
      <c r="N382" s="4">
        <v>23.53</v>
      </c>
      <c r="O382" s="82"/>
      <c r="P382" s="86"/>
      <c r="Q382" s="4"/>
      <c r="R382" s="4" t="b">
        <f t="shared" ca="1" si="17"/>
        <v>0</v>
      </c>
      <c r="S382" s="4" t="b">
        <f t="shared" si="18"/>
        <v>0</v>
      </c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" thickBot="1" x14ac:dyDescent="0.4">
      <c r="A383" s="1" t="s">
        <v>442</v>
      </c>
      <c r="B383" s="1"/>
      <c r="C383" s="10">
        <v>25569</v>
      </c>
      <c r="D383" s="14">
        <v>0</v>
      </c>
      <c r="E383" s="19"/>
      <c r="F383" s="14">
        <v>0</v>
      </c>
      <c r="G383" s="18">
        <v>0</v>
      </c>
      <c r="H383" s="18">
        <v>8.32</v>
      </c>
      <c r="I383" s="14">
        <v>35</v>
      </c>
      <c r="J383" s="14">
        <v>4.4379999999999997</v>
      </c>
      <c r="K383" s="2">
        <v>0</v>
      </c>
      <c r="L383" s="18">
        <v>0</v>
      </c>
      <c r="M383" s="14">
        <v>5</v>
      </c>
      <c r="N383" s="4">
        <v>0</v>
      </c>
      <c r="O383" s="82"/>
      <c r="P383" s="86"/>
      <c r="Q383" s="4"/>
      <c r="R383" s="4" t="b">
        <f t="shared" ca="1" si="17"/>
        <v>0</v>
      </c>
      <c r="S383" s="4" t="b">
        <f t="shared" si="18"/>
        <v>0</v>
      </c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" thickBot="1" x14ac:dyDescent="0.4">
      <c r="A384" s="1" t="s">
        <v>244</v>
      </c>
      <c r="B384" s="1"/>
      <c r="C384" s="10">
        <v>25569</v>
      </c>
      <c r="D384" s="14">
        <v>0</v>
      </c>
      <c r="E384" s="19"/>
      <c r="F384" s="14">
        <v>0</v>
      </c>
      <c r="G384" s="18">
        <v>0</v>
      </c>
      <c r="H384" s="18">
        <v>66.760000000000005</v>
      </c>
      <c r="I384" s="14">
        <v>38</v>
      </c>
      <c r="J384" s="14">
        <v>0.90200000000000002</v>
      </c>
      <c r="K384" s="2">
        <v>0</v>
      </c>
      <c r="L384" s="18">
        <v>0</v>
      </c>
      <c r="M384" s="14">
        <v>0</v>
      </c>
      <c r="N384" s="3"/>
      <c r="O384" s="82"/>
      <c r="P384" s="86"/>
      <c r="Q384" s="4"/>
      <c r="R384" s="4" t="b">
        <f t="shared" ca="1" si="17"/>
        <v>0</v>
      </c>
      <c r="S384" s="4" t="b">
        <f t="shared" si="18"/>
        <v>0</v>
      </c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" thickBot="1" x14ac:dyDescent="0.4">
      <c r="A385" s="1" t="s">
        <v>318</v>
      </c>
      <c r="B385" s="1"/>
      <c r="C385" s="10">
        <v>25569</v>
      </c>
      <c r="D385" s="14">
        <v>0</v>
      </c>
      <c r="E385" s="19"/>
      <c r="F385" s="14">
        <v>0</v>
      </c>
      <c r="G385" s="18">
        <v>0</v>
      </c>
      <c r="H385" s="18">
        <v>13.35</v>
      </c>
      <c r="I385" s="14">
        <v>46</v>
      </c>
      <c r="J385" s="14">
        <v>9.4962</v>
      </c>
      <c r="K385" s="2">
        <v>0</v>
      </c>
      <c r="L385" s="18">
        <v>0</v>
      </c>
      <c r="M385" s="14">
        <v>7</v>
      </c>
      <c r="N385" s="4">
        <v>0</v>
      </c>
      <c r="O385" s="82"/>
      <c r="P385" s="86"/>
      <c r="Q385" s="4"/>
      <c r="R385" s="4" t="b">
        <f t="shared" ca="1" si="17"/>
        <v>0</v>
      </c>
      <c r="S385" s="4" t="b">
        <f t="shared" si="18"/>
        <v>0</v>
      </c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" thickBot="1" x14ac:dyDescent="0.4">
      <c r="A386" s="1" t="s">
        <v>296</v>
      </c>
      <c r="B386" s="1"/>
      <c r="C386" s="10">
        <v>25569</v>
      </c>
      <c r="D386" s="14">
        <v>0</v>
      </c>
      <c r="E386" s="19"/>
      <c r="F386" s="14">
        <v>0</v>
      </c>
      <c r="G386" s="18">
        <v>0</v>
      </c>
      <c r="H386" s="18">
        <v>77.099999999999994</v>
      </c>
      <c r="I386" s="14">
        <v>129</v>
      </c>
      <c r="J386" s="14">
        <v>5.0006000000000004</v>
      </c>
      <c r="K386" s="2">
        <v>1</v>
      </c>
      <c r="L386" s="18">
        <v>0</v>
      </c>
      <c r="M386" s="14">
        <v>0</v>
      </c>
      <c r="N386" s="3"/>
      <c r="O386" s="82"/>
      <c r="P386" s="86"/>
      <c r="Q386" s="4"/>
      <c r="R386" s="4" t="b">
        <f t="shared" ref="R386:R405" ca="1" si="19">IF(DATEDIF(C386,TODAY(),"d")&gt;365,FALSE, TRUE)</f>
        <v>0</v>
      </c>
      <c r="S386" s="4" t="b">
        <f t="shared" ref="S386:S405" si="20">IF(I386&lt;15000,FALSE, TRUE)</f>
        <v>0</v>
      </c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" thickBot="1" x14ac:dyDescent="0.4">
      <c r="A387" s="1" t="s">
        <v>275</v>
      </c>
      <c r="B387" s="1"/>
      <c r="C387" s="10">
        <v>25569</v>
      </c>
      <c r="D387" s="14">
        <v>0</v>
      </c>
      <c r="E387" s="19"/>
      <c r="F387" s="14">
        <v>0</v>
      </c>
      <c r="G387" s="18">
        <v>0</v>
      </c>
      <c r="H387" s="18">
        <v>73.739999999999995</v>
      </c>
      <c r="I387" s="14">
        <v>379</v>
      </c>
      <c r="J387" s="14">
        <v>9.3162000000000003</v>
      </c>
      <c r="K387" s="2">
        <v>2</v>
      </c>
      <c r="L387" s="18">
        <v>0</v>
      </c>
      <c r="M387" s="14">
        <v>7</v>
      </c>
      <c r="N387" s="4">
        <v>14.29</v>
      </c>
      <c r="O387" s="82"/>
      <c r="P387" s="86"/>
      <c r="Q387" s="4"/>
      <c r="R387" s="4" t="b">
        <f t="shared" ca="1" si="19"/>
        <v>0</v>
      </c>
      <c r="S387" s="4" t="b">
        <f t="shared" si="20"/>
        <v>0</v>
      </c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" thickBot="1" x14ac:dyDescent="0.4">
      <c r="A388" s="1" t="s">
        <v>396</v>
      </c>
      <c r="B388" s="1"/>
      <c r="C388" s="10">
        <v>25569</v>
      </c>
      <c r="D388" s="14">
        <v>0</v>
      </c>
      <c r="E388" s="19"/>
      <c r="F388" s="14">
        <v>0</v>
      </c>
      <c r="G388" s="18">
        <v>0</v>
      </c>
      <c r="H388" s="18">
        <v>7.26</v>
      </c>
      <c r="I388" s="14">
        <v>11802</v>
      </c>
      <c r="J388" s="14">
        <v>903.70740000000001</v>
      </c>
      <c r="K388" s="2">
        <v>-31</v>
      </c>
      <c r="L388" s="18">
        <v>0</v>
      </c>
      <c r="M388" s="14">
        <v>172741</v>
      </c>
      <c r="N388" s="4">
        <v>2.87</v>
      </c>
      <c r="O388" s="82"/>
      <c r="P388" s="86"/>
      <c r="Q388" s="4"/>
      <c r="R388" s="4" t="b">
        <f t="shared" ca="1" si="19"/>
        <v>0</v>
      </c>
      <c r="S388" s="4" t="b">
        <f t="shared" si="20"/>
        <v>0</v>
      </c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" thickBot="1" x14ac:dyDescent="0.4">
      <c r="A389" s="1" t="s">
        <v>398</v>
      </c>
      <c r="B389" s="1"/>
      <c r="C389" s="10">
        <v>25569</v>
      </c>
      <c r="D389" s="14">
        <v>0</v>
      </c>
      <c r="E389" s="19"/>
      <c r="F389" s="14">
        <v>0</v>
      </c>
      <c r="G389" s="18">
        <v>0.193</v>
      </c>
      <c r="H389" s="18">
        <v>4.8</v>
      </c>
      <c r="I389" s="14">
        <v>13810</v>
      </c>
      <c r="J389" s="14">
        <v>866.03179999999998</v>
      </c>
      <c r="K389" s="2">
        <v>1</v>
      </c>
      <c r="L389" s="18">
        <v>2.67</v>
      </c>
      <c r="M389" s="14">
        <v>169733</v>
      </c>
      <c r="N389" s="4">
        <v>4.8899999999999997</v>
      </c>
      <c r="O389" s="82"/>
      <c r="P389" s="86"/>
      <c r="Q389" s="4"/>
      <c r="R389" s="4" t="b">
        <f t="shared" ca="1" si="19"/>
        <v>0</v>
      </c>
      <c r="S389" s="4" t="b">
        <f t="shared" si="20"/>
        <v>0</v>
      </c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" thickBot="1" x14ac:dyDescent="0.4">
      <c r="A390" s="1" t="s">
        <v>251</v>
      </c>
      <c r="B390" s="1"/>
      <c r="C390" s="10">
        <v>25569</v>
      </c>
      <c r="D390" s="14">
        <v>8490</v>
      </c>
      <c r="E390" s="18">
        <v>2.8919999999999999</v>
      </c>
      <c r="F390" s="14">
        <v>0</v>
      </c>
      <c r="G390" s="18">
        <v>2.4020000000000001</v>
      </c>
      <c r="H390" s="18">
        <v>8.34</v>
      </c>
      <c r="I390" s="14">
        <v>16438</v>
      </c>
      <c r="J390" s="14">
        <v>1407.7802999999999</v>
      </c>
      <c r="K390" s="2">
        <v>-24</v>
      </c>
      <c r="L390" s="18">
        <v>39.491999999999997</v>
      </c>
      <c r="M390" s="14">
        <v>126176</v>
      </c>
      <c r="N390" s="4">
        <v>6.97</v>
      </c>
      <c r="O390" s="82"/>
      <c r="P390" s="86"/>
      <c r="Q390" s="4"/>
      <c r="R390" s="4" t="b">
        <f t="shared" ca="1" si="19"/>
        <v>0</v>
      </c>
      <c r="S390" s="4" t="b">
        <f t="shared" si="20"/>
        <v>1</v>
      </c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" thickBot="1" x14ac:dyDescent="0.4">
      <c r="A391" s="1" t="s">
        <v>398</v>
      </c>
      <c r="B391" s="1"/>
      <c r="C391" s="10">
        <v>25569</v>
      </c>
      <c r="D391" s="14">
        <v>0</v>
      </c>
      <c r="E391" s="19"/>
      <c r="F391" s="14">
        <v>0</v>
      </c>
      <c r="G391" s="18">
        <v>0</v>
      </c>
      <c r="H391" s="18">
        <v>3.71</v>
      </c>
      <c r="I391" s="14">
        <v>16730</v>
      </c>
      <c r="J391" s="14">
        <v>1307.7263</v>
      </c>
      <c r="K391" s="2">
        <v>-26</v>
      </c>
      <c r="L391" s="18">
        <v>0</v>
      </c>
      <c r="M391" s="14">
        <v>202767</v>
      </c>
      <c r="N391" s="4">
        <v>4.43</v>
      </c>
      <c r="O391" s="82"/>
      <c r="P391" s="86"/>
      <c r="Q391" s="4"/>
      <c r="R391" s="4" t="b">
        <f t="shared" ca="1" si="19"/>
        <v>0</v>
      </c>
      <c r="S391" s="4" t="b">
        <f t="shared" si="20"/>
        <v>1</v>
      </c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" thickBot="1" x14ac:dyDescent="0.4">
      <c r="A392" s="1" t="s">
        <v>427</v>
      </c>
      <c r="B392" s="1"/>
      <c r="C392" s="10">
        <v>25569</v>
      </c>
      <c r="D392" s="14">
        <v>9551</v>
      </c>
      <c r="E392" s="18">
        <v>3.5289999999999999</v>
      </c>
      <c r="F392" s="14">
        <v>0</v>
      </c>
      <c r="G392" s="18">
        <v>1.9510000000000001</v>
      </c>
      <c r="H392" s="18">
        <v>5.96</v>
      </c>
      <c r="I392" s="14">
        <v>17751</v>
      </c>
      <c r="J392" s="14">
        <v>1180.1855</v>
      </c>
      <c r="K392" s="2">
        <v>-5</v>
      </c>
      <c r="L392" s="18">
        <v>34.625999999999998</v>
      </c>
      <c r="M392" s="14">
        <v>93293</v>
      </c>
      <c r="N392" s="4">
        <v>9.61</v>
      </c>
      <c r="O392" s="82"/>
      <c r="P392" s="86"/>
      <c r="Q392" s="4"/>
      <c r="R392" s="4" t="b">
        <f t="shared" ca="1" si="19"/>
        <v>0</v>
      </c>
      <c r="S392" s="4" t="b">
        <f t="shared" si="20"/>
        <v>1</v>
      </c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" thickBot="1" x14ac:dyDescent="0.4">
      <c r="A393" s="1" t="s">
        <v>317</v>
      </c>
      <c r="B393" s="1"/>
      <c r="C393" s="10">
        <v>25569</v>
      </c>
      <c r="D393" s="14">
        <v>0</v>
      </c>
      <c r="E393" s="19"/>
      <c r="F393" s="14">
        <v>0</v>
      </c>
      <c r="G393" s="18">
        <v>0</v>
      </c>
      <c r="H393" s="18">
        <v>4.67</v>
      </c>
      <c r="I393" s="14">
        <v>18543</v>
      </c>
      <c r="J393" s="14">
        <v>871.59069999999997</v>
      </c>
      <c r="K393" s="2">
        <v>-8</v>
      </c>
      <c r="L393" s="18">
        <v>0</v>
      </c>
      <c r="M393" s="14">
        <v>116556</v>
      </c>
      <c r="N393" s="4">
        <v>10.24</v>
      </c>
      <c r="O393" s="82"/>
      <c r="P393" s="86"/>
      <c r="Q393" s="4"/>
      <c r="R393" s="4" t="b">
        <f t="shared" ca="1" si="19"/>
        <v>0</v>
      </c>
      <c r="S393" s="4" t="b">
        <f t="shared" si="20"/>
        <v>1</v>
      </c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" thickBot="1" x14ac:dyDescent="0.4">
      <c r="A394" s="1" t="s">
        <v>254</v>
      </c>
      <c r="B394" s="1"/>
      <c r="C394" s="10">
        <v>25569</v>
      </c>
      <c r="D394" s="14">
        <v>0</v>
      </c>
      <c r="E394" s="19"/>
      <c r="F394" s="14">
        <v>0</v>
      </c>
      <c r="G394" s="18">
        <v>0</v>
      </c>
      <c r="H394" s="18">
        <v>78.959999999999994</v>
      </c>
      <c r="I394" s="14">
        <v>20574</v>
      </c>
      <c r="J394" s="14">
        <v>324.90899999999999</v>
      </c>
      <c r="K394" s="2">
        <v>1</v>
      </c>
      <c r="L394" s="18">
        <v>0</v>
      </c>
      <c r="M394" s="14">
        <v>13</v>
      </c>
      <c r="N394" s="4">
        <v>7.69</v>
      </c>
      <c r="O394" s="82"/>
      <c r="P394" s="86"/>
      <c r="Q394" s="4"/>
      <c r="R394" s="4" t="b">
        <f t="shared" ca="1" si="19"/>
        <v>0</v>
      </c>
      <c r="S394" s="4" t="b">
        <f t="shared" si="20"/>
        <v>1</v>
      </c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" thickBot="1" x14ac:dyDescent="0.4">
      <c r="A395" s="1" t="s">
        <v>251</v>
      </c>
      <c r="B395" s="1"/>
      <c r="C395" s="10">
        <v>25569</v>
      </c>
      <c r="D395" s="14">
        <v>12527</v>
      </c>
      <c r="E395" s="18">
        <v>2.8330000000000002</v>
      </c>
      <c r="F395" s="14">
        <v>0</v>
      </c>
      <c r="G395" s="18">
        <v>4.3289999999999997</v>
      </c>
      <c r="H395" s="18">
        <v>8.51</v>
      </c>
      <c r="I395" s="14">
        <v>24433</v>
      </c>
      <c r="J395" s="14">
        <v>2614.9652000000001</v>
      </c>
      <c r="K395" s="2">
        <v>16</v>
      </c>
      <c r="L395" s="18">
        <v>105.761</v>
      </c>
      <c r="M395" s="14">
        <v>223614</v>
      </c>
      <c r="N395" s="4">
        <v>6.57</v>
      </c>
      <c r="O395" s="82"/>
      <c r="P395" s="86"/>
      <c r="Q395" s="4"/>
      <c r="R395" s="4" t="b">
        <f t="shared" ca="1" si="19"/>
        <v>0</v>
      </c>
      <c r="S395" s="4" t="b">
        <f t="shared" si="20"/>
        <v>1</v>
      </c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" thickBot="1" x14ac:dyDescent="0.4">
      <c r="A396" s="1" t="s">
        <v>332</v>
      </c>
      <c r="B396" s="1"/>
      <c r="C396" s="10">
        <v>25569</v>
      </c>
      <c r="D396" s="14">
        <v>9474</v>
      </c>
      <c r="E396" s="18">
        <v>2.452</v>
      </c>
      <c r="F396" s="14">
        <v>0</v>
      </c>
      <c r="G396" s="18">
        <v>4.3630000000000004</v>
      </c>
      <c r="H396" s="18">
        <v>4.47</v>
      </c>
      <c r="I396" s="14">
        <v>28949</v>
      </c>
      <c r="J396" s="14">
        <v>2890.3020999999999</v>
      </c>
      <c r="K396" s="2">
        <v>120</v>
      </c>
      <c r="L396" s="18">
        <v>126.295</v>
      </c>
      <c r="M396" s="14">
        <v>422802</v>
      </c>
      <c r="N396" s="4">
        <v>5.09</v>
      </c>
      <c r="O396" s="82"/>
      <c r="P396" s="86"/>
      <c r="Q396" s="4"/>
      <c r="R396" s="4" t="b">
        <f t="shared" ca="1" si="19"/>
        <v>0</v>
      </c>
      <c r="S396" s="4" t="b">
        <f t="shared" si="20"/>
        <v>1</v>
      </c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" thickBot="1" x14ac:dyDescent="0.4">
      <c r="A397" s="1" t="s">
        <v>317</v>
      </c>
      <c r="B397" s="1"/>
      <c r="C397" s="10">
        <v>25569</v>
      </c>
      <c r="D397" s="14">
        <v>0</v>
      </c>
      <c r="E397" s="19"/>
      <c r="F397" s="14">
        <v>0</v>
      </c>
      <c r="G397" s="18">
        <v>5.5E-2</v>
      </c>
      <c r="H397" s="18">
        <v>1.72</v>
      </c>
      <c r="I397" s="14">
        <v>31989</v>
      </c>
      <c r="J397" s="14">
        <v>1670.4879000000001</v>
      </c>
      <c r="K397" s="2">
        <v>1</v>
      </c>
      <c r="L397" s="18">
        <v>1.76</v>
      </c>
      <c r="M397" s="14">
        <v>315828</v>
      </c>
      <c r="N397" s="4">
        <v>7.76</v>
      </c>
      <c r="O397" s="82"/>
      <c r="P397" s="86"/>
      <c r="Q397" s="4"/>
      <c r="R397" s="4" t="b">
        <f t="shared" ca="1" si="19"/>
        <v>0</v>
      </c>
      <c r="S397" s="4" t="b">
        <f t="shared" si="20"/>
        <v>1</v>
      </c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" thickBot="1" x14ac:dyDescent="0.4">
      <c r="A398" s="1" t="s">
        <v>332</v>
      </c>
      <c r="B398" s="1"/>
      <c r="C398" s="10">
        <v>25569</v>
      </c>
      <c r="D398" s="14">
        <v>11906</v>
      </c>
      <c r="E398" s="18">
        <v>2.9550000000000001</v>
      </c>
      <c r="F398" s="14">
        <v>0</v>
      </c>
      <c r="G398" s="18">
        <v>1.2310000000000001</v>
      </c>
      <c r="H398" s="18">
        <v>1.39</v>
      </c>
      <c r="I398" s="14">
        <v>49257</v>
      </c>
      <c r="J398" s="14">
        <v>4080.7662</v>
      </c>
      <c r="K398" s="2">
        <v>60</v>
      </c>
      <c r="L398" s="18">
        <v>60.618000000000002</v>
      </c>
      <c r="M398" s="14">
        <v>573644</v>
      </c>
      <c r="N398" s="4">
        <v>6.8</v>
      </c>
      <c r="O398" s="82"/>
      <c r="P398" s="86"/>
      <c r="Q398" s="4"/>
      <c r="R398" s="4" t="b">
        <f t="shared" ca="1" si="19"/>
        <v>0</v>
      </c>
      <c r="S398" s="4" t="b">
        <f t="shared" si="20"/>
        <v>1</v>
      </c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" thickBot="1" x14ac:dyDescent="0.4">
      <c r="A399" s="1" t="s">
        <v>312</v>
      </c>
      <c r="B399" s="1"/>
      <c r="C399" s="10">
        <v>25569</v>
      </c>
      <c r="D399" s="14">
        <v>0</v>
      </c>
      <c r="E399" s="19"/>
      <c r="F399" s="14">
        <v>0</v>
      </c>
      <c r="G399" s="18">
        <v>0</v>
      </c>
      <c r="H399" s="18">
        <v>86.69</v>
      </c>
      <c r="I399" s="14">
        <v>97319</v>
      </c>
      <c r="J399" s="14">
        <v>1429.4931999999999</v>
      </c>
      <c r="K399" s="2">
        <v>0</v>
      </c>
      <c r="L399" s="18">
        <v>0</v>
      </c>
      <c r="M399" s="14">
        <v>7</v>
      </c>
      <c r="N399" s="4">
        <v>0</v>
      </c>
      <c r="O399" s="82"/>
      <c r="P399" s="86"/>
      <c r="Q399" s="4"/>
      <c r="R399" s="4" t="b">
        <f t="shared" ca="1" si="19"/>
        <v>0</v>
      </c>
      <c r="S399" s="4" t="b">
        <f t="shared" si="20"/>
        <v>1</v>
      </c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" thickBot="1" x14ac:dyDescent="0.4">
      <c r="A400" s="1" t="s">
        <v>445</v>
      </c>
      <c r="B400" s="1"/>
      <c r="C400" s="10">
        <v>25569</v>
      </c>
      <c r="D400" s="14">
        <v>0</v>
      </c>
      <c r="E400" s="19"/>
      <c r="F400" s="22"/>
      <c r="G400" s="19"/>
      <c r="H400" s="19"/>
      <c r="I400" s="22"/>
      <c r="J400" s="22"/>
      <c r="K400" s="1"/>
      <c r="L400" s="18">
        <v>0</v>
      </c>
      <c r="M400" s="14">
        <v>6</v>
      </c>
      <c r="N400" s="4">
        <v>0</v>
      </c>
      <c r="O400" s="82"/>
      <c r="P400" s="86"/>
      <c r="Q400" s="4"/>
      <c r="R400" s="4" t="b">
        <f t="shared" ca="1" si="19"/>
        <v>0</v>
      </c>
      <c r="S400" s="4" t="b">
        <f t="shared" si="20"/>
        <v>0</v>
      </c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" thickBot="1" x14ac:dyDescent="0.4">
      <c r="A401" s="1" t="s">
        <v>446</v>
      </c>
      <c r="B401" s="1"/>
      <c r="C401" s="10">
        <v>25569</v>
      </c>
      <c r="D401" s="14">
        <v>0</v>
      </c>
      <c r="E401" s="19"/>
      <c r="F401" s="22"/>
      <c r="G401" s="19"/>
      <c r="H401" s="19"/>
      <c r="I401" s="22"/>
      <c r="J401" s="22"/>
      <c r="K401" s="1"/>
      <c r="L401" s="18">
        <v>0</v>
      </c>
      <c r="M401" s="14">
        <v>6</v>
      </c>
      <c r="N401" s="4">
        <v>0</v>
      </c>
      <c r="O401" s="82"/>
      <c r="P401" s="86"/>
      <c r="Q401" s="4"/>
      <c r="R401" s="4" t="b">
        <f t="shared" ca="1" si="19"/>
        <v>0</v>
      </c>
      <c r="S401" s="4" t="b">
        <f t="shared" si="20"/>
        <v>0</v>
      </c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" thickBot="1" x14ac:dyDescent="0.4">
      <c r="A402" s="1" t="s">
        <v>447</v>
      </c>
      <c r="B402" s="1"/>
      <c r="C402" s="10">
        <v>25569</v>
      </c>
      <c r="D402" s="14">
        <v>0</v>
      </c>
      <c r="E402" s="19"/>
      <c r="F402" s="22"/>
      <c r="G402" s="19"/>
      <c r="H402" s="19"/>
      <c r="I402" s="22"/>
      <c r="J402" s="22"/>
      <c r="K402" s="1"/>
      <c r="L402" s="18">
        <v>0</v>
      </c>
      <c r="M402" s="14">
        <v>7</v>
      </c>
      <c r="N402" s="4">
        <v>0</v>
      </c>
      <c r="O402" s="82"/>
      <c r="P402" s="86"/>
      <c r="Q402" s="4"/>
      <c r="R402" s="4" t="b">
        <f t="shared" ca="1" si="19"/>
        <v>0</v>
      </c>
      <c r="S402" s="4" t="b">
        <f t="shared" si="20"/>
        <v>0</v>
      </c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" thickBot="1" x14ac:dyDescent="0.4">
      <c r="A403" s="1" t="s">
        <v>448</v>
      </c>
      <c r="B403" s="1"/>
      <c r="C403" s="10">
        <v>25569</v>
      </c>
      <c r="D403" s="14">
        <v>0</v>
      </c>
      <c r="E403" s="19"/>
      <c r="F403" s="22"/>
      <c r="G403" s="19"/>
      <c r="H403" s="19"/>
      <c r="I403" s="22"/>
      <c r="J403" s="22"/>
      <c r="K403" s="1"/>
      <c r="L403" s="18">
        <v>0</v>
      </c>
      <c r="M403" s="14">
        <v>1</v>
      </c>
      <c r="N403" s="4">
        <v>0</v>
      </c>
      <c r="O403" s="82"/>
      <c r="P403" s="86"/>
      <c r="Q403" s="4"/>
      <c r="R403" s="4" t="b">
        <f t="shared" ca="1" si="19"/>
        <v>0</v>
      </c>
      <c r="S403" s="4" t="b">
        <f t="shared" si="20"/>
        <v>0</v>
      </c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" thickBot="1" x14ac:dyDescent="0.4">
      <c r="A404" s="1" t="s">
        <v>450</v>
      </c>
      <c r="B404" s="1"/>
      <c r="C404" s="10">
        <v>25569</v>
      </c>
      <c r="D404" s="14">
        <v>0</v>
      </c>
      <c r="E404" s="19"/>
      <c r="F404" s="22"/>
      <c r="G404" s="19"/>
      <c r="H404" s="19"/>
      <c r="I404" s="22"/>
      <c r="J404" s="22"/>
      <c r="K404" s="1"/>
      <c r="L404" s="18">
        <v>0</v>
      </c>
      <c r="M404" s="14">
        <v>10</v>
      </c>
      <c r="N404" s="4">
        <v>0</v>
      </c>
      <c r="O404" s="82"/>
      <c r="P404" s="86"/>
      <c r="Q404" s="4"/>
      <c r="R404" s="4" t="b">
        <f t="shared" ca="1" si="19"/>
        <v>0</v>
      </c>
      <c r="S404" s="4" t="b">
        <f t="shared" si="20"/>
        <v>0</v>
      </c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" thickBot="1" x14ac:dyDescent="0.4">
      <c r="A405" s="7" t="s">
        <v>451</v>
      </c>
      <c r="B405" s="7"/>
      <c r="C405" s="11">
        <v>25569</v>
      </c>
      <c r="D405" s="15">
        <v>0</v>
      </c>
      <c r="E405" s="20"/>
      <c r="F405" s="23"/>
      <c r="G405" s="20"/>
      <c r="H405" s="20"/>
      <c r="I405" s="23"/>
      <c r="J405" s="23"/>
      <c r="K405" s="7"/>
      <c r="L405" s="24">
        <v>0</v>
      </c>
      <c r="M405" s="15">
        <v>1</v>
      </c>
      <c r="N405" s="8">
        <v>0</v>
      </c>
      <c r="O405" s="83"/>
      <c r="P405" s="86"/>
      <c r="Q405" s="4"/>
      <c r="R405" s="8" t="b">
        <f t="shared" ca="1" si="19"/>
        <v>0</v>
      </c>
      <c r="S405" s="8" t="b">
        <f t="shared" si="20"/>
        <v>0</v>
      </c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</row>
    <row r="411" spans="1:34" x14ac:dyDescent="0.35">
      <c r="E411" s="16">
        <f>AVERAGE(I184,I193:I268)</f>
        <v>116809.93506493507</v>
      </c>
    </row>
    <row r="412" spans="1:34" x14ac:dyDescent="0.35">
      <c r="E412" s="16">
        <f>AVERAGE(L184,L193:L268)</f>
        <v>283.1769480519481</v>
      </c>
    </row>
    <row r="413" spans="1:34" x14ac:dyDescent="0.35">
      <c r="E413" s="16">
        <f>AVERAGE(K184,K193:K268)</f>
        <v>1506.0389610389611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9BCDD-27D1-400C-B2F9-DAFD700107FD}">
  <sheetPr codeName="Sheet1"/>
  <dimension ref="B1:Q15"/>
  <sheetViews>
    <sheetView workbookViewId="0">
      <selection activeCell="E4" sqref="E4"/>
    </sheetView>
  </sheetViews>
  <sheetFormatPr defaultRowHeight="14.5" x14ac:dyDescent="0.35"/>
  <cols>
    <col min="12" max="12" width="9.7265625" customWidth="1"/>
    <col min="13" max="13" width="13.90625" customWidth="1"/>
    <col min="16" max="16" width="11.08984375" customWidth="1"/>
    <col min="17" max="17" width="9.6328125" customWidth="1"/>
  </cols>
  <sheetData>
    <row r="1" spans="2:17" ht="15" thickBot="1" x14ac:dyDescent="0.4"/>
    <row r="2" spans="2:17" ht="15" thickBot="1" x14ac:dyDescent="0.4">
      <c r="B2" s="96" t="s">
        <v>473</v>
      </c>
      <c r="C2" s="97"/>
      <c r="D2" s="98"/>
      <c r="E2" s="65" t="s">
        <v>33</v>
      </c>
      <c r="F2" s="65" t="s">
        <v>34</v>
      </c>
      <c r="I2" s="99" t="s">
        <v>475</v>
      </c>
      <c r="J2" s="100"/>
      <c r="K2" s="101"/>
      <c r="L2" s="59" t="s">
        <v>3</v>
      </c>
      <c r="M2" s="59" t="s">
        <v>5</v>
      </c>
      <c r="N2" s="75" t="s">
        <v>7</v>
      </c>
      <c r="O2" s="59" t="s">
        <v>474</v>
      </c>
      <c r="P2" s="75" t="s">
        <v>6</v>
      </c>
      <c r="Q2" s="59" t="s">
        <v>50</v>
      </c>
    </row>
    <row r="3" spans="2:17" x14ac:dyDescent="0.35">
      <c r="B3" s="44" t="s">
        <v>476</v>
      </c>
      <c r="C3" s="53"/>
      <c r="D3" s="56"/>
      <c r="E3" s="57">
        <f ca="1">COUNTIFS('Raw Data'!T:T, "1", 'Raw Data'!R:R, TRUE, 'Raw Data'!S:S, TRUE)</f>
        <v>0</v>
      </c>
      <c r="F3" s="66" t="e">
        <f ca="1">100*E3/$E$15</f>
        <v>#DIV/0!</v>
      </c>
      <c r="I3" s="44" t="s">
        <v>476</v>
      </c>
      <c r="J3" s="54"/>
      <c r="K3" s="54"/>
      <c r="L3" s="76" t="e">
        <f ca="1">SUMIFS('Raw Data'!I:I, 'Raw Data'!R:R, TRUE, 'Raw Data'!S:S, TRUE, 'Raw Data'!T:T, "1") / E3</f>
        <v>#DIV/0!</v>
      </c>
      <c r="M3" s="76" t="e">
        <f ca="1">SUMIFS('Raw Data'!M:M, 'Raw Data'!R:R, TRUE, 'Raw Data'!S:S, TRUE, 'Raw Data'!T:T, "1") / E3</f>
        <v>#DIV/0!</v>
      </c>
      <c r="N3" s="72" t="e">
        <f ca="1">SUMIFS('Raw Data'!N:N, 'Raw Data'!R:R, TRUE, 'Raw Data'!S:S, TRUE, 'Raw Data'!T:T, "1") / E3</f>
        <v>#DIV/0!</v>
      </c>
      <c r="O3" s="63" t="e">
        <f ca="1">SUMIFS('Raw Data'!H:H, 'Raw Data'!R:R, TRUE, 'Raw Data'!S:S, TRUE, 'Raw Data'!T:T, "1") / E3</f>
        <v>#DIV/0!</v>
      </c>
      <c r="P3" s="71" t="e">
        <f ca="1">SUMIFS('Raw Data'!L:L, 'Raw Data'!R:R, TRUE, 'Raw Data'!S:S, TRUE, 'Raw Data'!T:T, "1") / E3</f>
        <v>#DIV/0!</v>
      </c>
      <c r="Q3" s="68" t="e">
        <f ca="1">SUMIFS('Raw Data'!K:K, 'Raw Data'!R:R, TRUE, 'Raw Data'!S:S, TRUE, 'Raw Data'!T:T, "1") / E3</f>
        <v>#DIV/0!</v>
      </c>
    </row>
    <row r="4" spans="2:17" x14ac:dyDescent="0.35">
      <c r="B4" s="31" t="s">
        <v>477</v>
      </c>
      <c r="C4" s="54"/>
      <c r="D4" s="57"/>
      <c r="E4" s="57">
        <f ca="1">COUNTIFS('Raw Data'!U:U, "1", 'Raw Data'!R:R, TRUE, 'Raw Data'!S:S, TRUE)</f>
        <v>0</v>
      </c>
      <c r="F4" s="66" t="e">
        <f t="shared" ref="F4:F14" ca="1" si="0">100*E4/$E$15</f>
        <v>#DIV/0!</v>
      </c>
      <c r="I4" s="31" t="s">
        <v>477</v>
      </c>
      <c r="J4" s="54"/>
      <c r="K4" s="54"/>
      <c r="L4" s="77" t="e">
        <f ca="1">SUMIFS('Raw Data'!I:I, 'Raw Data'!R:R, TRUE, 'Raw Data'!S:S, TRUE, 'Raw Data'!U:U, "1") / E4</f>
        <v>#DIV/0!</v>
      </c>
      <c r="M4" s="77" t="e">
        <f ca="1">SUMIFS('Raw Data'!M:M, 'Raw Data'!R:R, TRUE, 'Raw Data'!S:S, TRUE, 'Raw Data'!U:U, "1") / E4</f>
        <v>#DIV/0!</v>
      </c>
      <c r="N4" s="70" t="e">
        <f ca="1">SUMIFS('Raw Data'!N:N, 'Raw Data'!R:R, TRUE, 'Raw Data'!S:S, TRUE, 'Raw Data'!U:U, "1") / E4</f>
        <v>#DIV/0!</v>
      </c>
      <c r="O4" s="42" t="e">
        <f ca="1">SUMIFS('Raw Data'!H:H, 'Raw Data'!R:R, TRUE, 'Raw Data'!S:S, TRUE, 'Raw Data'!U:U, "1") / E4</f>
        <v>#DIV/0!</v>
      </c>
      <c r="P4" s="69" t="e">
        <f ca="1">SUMIFS('Raw Data'!L:L, 'Raw Data'!R:R, TRUE, 'Raw Data'!S:S, TRUE, 'Raw Data'!U:U, "1") / E4</f>
        <v>#DIV/0!</v>
      </c>
      <c r="Q4" s="60" t="e">
        <f ca="1">SUMIFS('Raw Data'!K:K, 'Raw Data'!R:R, TRUE, 'Raw Data'!S:S, TRUE, 'Raw Data'!U:U, "1") / E4</f>
        <v>#DIV/0!</v>
      </c>
    </row>
    <row r="5" spans="2:17" x14ac:dyDescent="0.35">
      <c r="B5" s="31" t="s">
        <v>478</v>
      </c>
      <c r="C5" s="54"/>
      <c r="D5" s="57"/>
      <c r="E5" s="57">
        <f ca="1">COUNTIFS('Raw Data'!V:V, "1", 'Raw Data'!R:R, TRUE, 'Raw Data'!S:S, TRUE)</f>
        <v>0</v>
      </c>
      <c r="F5" s="66" t="e">
        <f t="shared" ca="1" si="0"/>
        <v>#DIV/0!</v>
      </c>
      <c r="I5" s="31" t="s">
        <v>478</v>
      </c>
      <c r="J5" s="54"/>
      <c r="K5" s="54"/>
      <c r="L5" s="77" t="e">
        <f ca="1">SUMIFS('Raw Data'!I:I, 'Raw Data'!R:R, TRUE, 'Raw Data'!S:S, TRUE, 'Raw Data'!V:V, "1") / E5</f>
        <v>#DIV/0!</v>
      </c>
      <c r="M5" s="77" t="e">
        <f ca="1">SUMIFS('Raw Data'!M:M, 'Raw Data'!R:R, TRUE, 'Raw Data'!S:S, TRUE, 'Raw Data'!V:V, "1") / E5</f>
        <v>#DIV/0!</v>
      </c>
      <c r="N5" s="70" t="e">
        <f ca="1">SUMIFS('Raw Data'!N:N, 'Raw Data'!R:R, TRUE, 'Raw Data'!S:S, TRUE, 'Raw Data'!V:V, "1") / E5</f>
        <v>#DIV/0!</v>
      </c>
      <c r="O5" s="42" t="e">
        <f ca="1">SUMIFS('Raw Data'!H:H, 'Raw Data'!R:R, TRUE, 'Raw Data'!S:S, TRUE, 'Raw Data'!V:V, "1") / E5</f>
        <v>#DIV/0!</v>
      </c>
      <c r="P5" s="69" t="e">
        <f ca="1">SUMIFS('Raw Data'!L:L, 'Raw Data'!R:R, TRUE, 'Raw Data'!S:S, TRUE, 'Raw Data'!V:V, "1") / E5</f>
        <v>#DIV/0!</v>
      </c>
      <c r="Q5" s="60" t="e">
        <f ca="1">SUMIFS('Raw Data'!K:K, 'Raw Data'!R:R, TRUE, 'Raw Data'!S:S, TRUE, 'Raw Data'!V:V, "1") / E5</f>
        <v>#DIV/0!</v>
      </c>
    </row>
    <row r="6" spans="2:17" x14ac:dyDescent="0.35">
      <c r="B6" s="31" t="s">
        <v>479</v>
      </c>
      <c r="C6" s="54"/>
      <c r="D6" s="57"/>
      <c r="E6" s="57">
        <f ca="1">COUNTIFS('Raw Data'!W:W, "1", 'Raw Data'!R:R, TRUE, 'Raw Data'!S:S, TRUE)</f>
        <v>0</v>
      </c>
      <c r="F6" s="66" t="e">
        <f t="shared" ca="1" si="0"/>
        <v>#DIV/0!</v>
      </c>
      <c r="I6" s="31" t="s">
        <v>479</v>
      </c>
      <c r="J6" s="54"/>
      <c r="K6" s="54"/>
      <c r="L6" s="77" t="e">
        <f ca="1">SUMIFS('Raw Data'!I:I, 'Raw Data'!R:R, TRUE, 'Raw Data'!S:S, TRUE, 'Raw Data'!W:W, "1") / E6</f>
        <v>#DIV/0!</v>
      </c>
      <c r="M6" s="77" t="e">
        <f ca="1">SUMIFS('Raw Data'!M:M, 'Raw Data'!R:R, TRUE, 'Raw Data'!S:S, TRUE, 'Raw Data'!W:W, "1") / E6</f>
        <v>#DIV/0!</v>
      </c>
      <c r="N6" s="70" t="e">
        <f ca="1">SUMIFS('Raw Data'!N:N, 'Raw Data'!R:R, TRUE, 'Raw Data'!S:S, TRUE, 'Raw Data'!W:W, "1") / E6</f>
        <v>#DIV/0!</v>
      </c>
      <c r="O6" s="42" t="e">
        <f ca="1">SUMIFS('Raw Data'!H:H, 'Raw Data'!R:R, TRUE, 'Raw Data'!S:S, TRUE, 'Raw Data'!W:W, "1") / E6</f>
        <v>#DIV/0!</v>
      </c>
      <c r="P6" s="69" t="e">
        <f ca="1">SUMIFS('Raw Data'!L:L, 'Raw Data'!R:R, TRUE, 'Raw Data'!S:S, TRUE, 'Raw Data'!W:W, "1") / E6</f>
        <v>#DIV/0!</v>
      </c>
      <c r="Q6" s="60" t="e">
        <f ca="1">SUMIFS('Raw Data'!K:K, 'Raw Data'!R:R, TRUE, 'Raw Data'!S:S, TRUE, 'Raw Data'!W:W, "1") / E6</f>
        <v>#DIV/0!</v>
      </c>
    </row>
    <row r="7" spans="2:17" x14ac:dyDescent="0.35">
      <c r="B7" s="31" t="s">
        <v>480</v>
      </c>
      <c r="C7" s="54"/>
      <c r="D7" s="57"/>
      <c r="E7" s="57">
        <f ca="1">COUNTIFS('Raw Data'!X:X, "1", 'Raw Data'!R:R, TRUE, 'Raw Data'!S:S, TRUE)</f>
        <v>0</v>
      </c>
      <c r="F7" s="66" t="e">
        <f t="shared" ca="1" si="0"/>
        <v>#DIV/0!</v>
      </c>
      <c r="I7" s="31" t="s">
        <v>480</v>
      </c>
      <c r="J7" s="54"/>
      <c r="K7" s="54"/>
      <c r="L7" s="77" t="e">
        <f ca="1">SUMIFS('Raw Data'!I:I, 'Raw Data'!R:R, TRUE, 'Raw Data'!S:S, TRUE, 'Raw Data'!X:X, "1") / E7</f>
        <v>#DIV/0!</v>
      </c>
      <c r="M7" s="77" t="e">
        <f ca="1">SUMIFS('Raw Data'!M:M, 'Raw Data'!R:R, TRUE, 'Raw Data'!S:S, TRUE, 'Raw Data'!X:X, "1") / E7</f>
        <v>#DIV/0!</v>
      </c>
      <c r="N7" s="70" t="e">
        <f ca="1">SUMIFS('Raw Data'!N:N, 'Raw Data'!R:R, TRUE, 'Raw Data'!S:S, TRUE, 'Raw Data'!X:X, "1") / E7</f>
        <v>#DIV/0!</v>
      </c>
      <c r="O7" s="42" t="e">
        <f ca="1">SUMIFS('Raw Data'!H:H, 'Raw Data'!R:R, TRUE, 'Raw Data'!S:S, TRUE, 'Raw Data'!X:X, "1") / E7</f>
        <v>#DIV/0!</v>
      </c>
      <c r="P7" s="69" t="e">
        <f ca="1">SUMIFS('Raw Data'!L:L, 'Raw Data'!R:R, TRUE, 'Raw Data'!S:S, TRUE, 'Raw Data'!X:X, "1") / E7</f>
        <v>#DIV/0!</v>
      </c>
      <c r="Q7" s="60" t="e">
        <f ca="1">SUMIFS('Raw Data'!K:K, 'Raw Data'!R:R, TRUE, 'Raw Data'!S:S, TRUE, 'Raw Data'!X:X, "1") / E7</f>
        <v>#DIV/0!</v>
      </c>
    </row>
    <row r="8" spans="2:17" x14ac:dyDescent="0.35">
      <c r="B8" s="31" t="s">
        <v>481</v>
      </c>
      <c r="C8" s="54"/>
      <c r="D8" s="57"/>
      <c r="E8" s="57">
        <f ca="1">COUNTIFS('Raw Data'!Y:Y, "1", 'Raw Data'!R:R, TRUE, 'Raw Data'!S:S, TRUE)</f>
        <v>0</v>
      </c>
      <c r="F8" s="66" t="e">
        <f t="shared" ca="1" si="0"/>
        <v>#DIV/0!</v>
      </c>
      <c r="I8" s="31" t="s">
        <v>481</v>
      </c>
      <c r="J8" s="54"/>
      <c r="K8" s="54"/>
      <c r="L8" s="77" t="e">
        <f ca="1">SUMIFS('Raw Data'!I:I, 'Raw Data'!R:R, TRUE, 'Raw Data'!S:S, TRUE, 'Raw Data'!Y:Y, "1") / E8</f>
        <v>#DIV/0!</v>
      </c>
      <c r="M8" s="77" t="e">
        <f ca="1">SUMIFS('Raw Data'!M:M, 'Raw Data'!R:R, TRUE, 'Raw Data'!S:S, TRUE, 'Raw Data'!Y:Y, "1") / E8</f>
        <v>#DIV/0!</v>
      </c>
      <c r="N8" s="70" t="e">
        <f ca="1">SUMIFS('Raw Data'!N:N, 'Raw Data'!R:R, TRUE, 'Raw Data'!S:S, TRUE, 'Raw Data'!Y:Y, "1") / E8</f>
        <v>#DIV/0!</v>
      </c>
      <c r="O8" s="42" t="e">
        <f ca="1">SUMIFS('Raw Data'!H:H, 'Raw Data'!R:R, TRUE, 'Raw Data'!S:S, TRUE, 'Raw Data'!Y:Y, "1") / E8</f>
        <v>#DIV/0!</v>
      </c>
      <c r="P8" s="69" t="e">
        <f ca="1">SUMIFS('Raw Data'!L:L, 'Raw Data'!R:R, TRUE, 'Raw Data'!S:S, TRUE, 'Raw Data'!Y:Y, "1") / E8</f>
        <v>#DIV/0!</v>
      </c>
      <c r="Q8" s="60" t="e">
        <f ca="1">SUMIFS('Raw Data'!K:K, 'Raw Data'!R:R, TRUE, 'Raw Data'!S:S, TRUE, 'Raw Data'!Y:Y, "1") / E8</f>
        <v>#DIV/0!</v>
      </c>
    </row>
    <row r="9" spans="2:17" x14ac:dyDescent="0.35">
      <c r="B9" s="31" t="s">
        <v>482</v>
      </c>
      <c r="C9" s="54"/>
      <c r="D9" s="57"/>
      <c r="E9" s="57">
        <f ca="1">COUNTIFS('Raw Data'!Z:Z, "1", 'Raw Data'!R:R, TRUE, 'Raw Data'!S:S, TRUE)</f>
        <v>0</v>
      </c>
      <c r="F9" s="66" t="e">
        <f t="shared" ca="1" si="0"/>
        <v>#DIV/0!</v>
      </c>
      <c r="I9" s="31" t="s">
        <v>482</v>
      </c>
      <c r="J9" s="54"/>
      <c r="K9" s="54"/>
      <c r="L9" s="77" t="e">
        <f ca="1">SUMIFS('Raw Data'!I:I, 'Raw Data'!R:R, TRUE, 'Raw Data'!S:S, TRUE, 'Raw Data'!Z:Z, "1") / E9</f>
        <v>#DIV/0!</v>
      </c>
      <c r="M9" s="77" t="e">
        <f ca="1">SUMIFS('Raw Data'!M:M, 'Raw Data'!R:R, TRUE, 'Raw Data'!S:S, TRUE, 'Raw Data'!Z:Z, "1") / E9</f>
        <v>#DIV/0!</v>
      </c>
      <c r="N9" s="70" t="e">
        <f ca="1">SUMIFS('Raw Data'!N:N, 'Raw Data'!R:R, TRUE, 'Raw Data'!S:S, TRUE, 'Raw Data'!Z:Z, "1") / E9</f>
        <v>#DIV/0!</v>
      </c>
      <c r="O9" s="42" t="e">
        <f ca="1">SUMIFS('Raw Data'!H:H, 'Raw Data'!R:R, TRUE, 'Raw Data'!S:S, TRUE, 'Raw Data'!Z:Z, "1") / E9</f>
        <v>#DIV/0!</v>
      </c>
      <c r="P9" s="69" t="e">
        <f ca="1">SUMIFS('Raw Data'!L:L, 'Raw Data'!R:R, TRUE, 'Raw Data'!S:S, TRUE, 'Raw Data'!Z:Z, "1") / E9</f>
        <v>#DIV/0!</v>
      </c>
      <c r="Q9" s="60" t="e">
        <f ca="1">SUMIFS('Raw Data'!K:K, 'Raw Data'!R:R, TRUE, 'Raw Data'!S:S, TRUE, 'Raw Data'!Z:Z, "1") / E9</f>
        <v>#DIV/0!</v>
      </c>
    </row>
    <row r="10" spans="2:17" x14ac:dyDescent="0.35">
      <c r="B10" s="31" t="s">
        <v>483</v>
      </c>
      <c r="C10" s="54"/>
      <c r="D10" s="57"/>
      <c r="E10" s="57">
        <f ca="1">COUNTIFS('Raw Data'!AA:AA, "1", 'Raw Data'!R:R, TRUE, 'Raw Data'!S:S, TRUE)</f>
        <v>0</v>
      </c>
      <c r="F10" s="66" t="e">
        <f t="shared" ca="1" si="0"/>
        <v>#DIV/0!</v>
      </c>
      <c r="I10" s="31" t="s">
        <v>483</v>
      </c>
      <c r="J10" s="54"/>
      <c r="K10" s="54"/>
      <c r="L10" s="77" t="e">
        <f ca="1">SUMIFS('Raw Data'!I:I, 'Raw Data'!R:R, TRUE, 'Raw Data'!S:S, TRUE, 'Raw Data'!AA:AA, "1") / E10</f>
        <v>#DIV/0!</v>
      </c>
      <c r="M10" s="77" t="e">
        <f ca="1">SUMIFS('Raw Data'!M:M, 'Raw Data'!R:R, TRUE, 'Raw Data'!S:S, TRUE, 'Raw Data'!AA:AA, "1") / E10</f>
        <v>#DIV/0!</v>
      </c>
      <c r="N10" s="70" t="e">
        <f ca="1">SUMIFS('Raw Data'!N:N, 'Raw Data'!R:R, TRUE, 'Raw Data'!S:S, TRUE, 'Raw Data'!AA:AA, "1") / E10</f>
        <v>#DIV/0!</v>
      </c>
      <c r="O10" s="42" t="e">
        <f ca="1">SUMIFS('Raw Data'!H:H, 'Raw Data'!R:R, TRUE, 'Raw Data'!S:S, TRUE, 'Raw Data'!AA:AA, "1") / E10</f>
        <v>#DIV/0!</v>
      </c>
      <c r="P10" s="69" t="e">
        <f ca="1">SUMIFS('Raw Data'!L:L, 'Raw Data'!R:R, TRUE, 'Raw Data'!S:S, TRUE, 'Raw Data'!AA:AA, "1") / E10</f>
        <v>#DIV/0!</v>
      </c>
      <c r="Q10" s="60" t="e">
        <f ca="1">SUMIFS('Raw Data'!K:K, 'Raw Data'!R:R, TRUE, 'Raw Data'!S:S, TRUE, 'Raw Data'!AA:AA, "1") / E10</f>
        <v>#DIV/0!</v>
      </c>
    </row>
    <row r="11" spans="2:17" x14ac:dyDescent="0.35">
      <c r="B11" s="31" t="s">
        <v>484</v>
      </c>
      <c r="C11" s="54"/>
      <c r="D11" s="57"/>
      <c r="E11" s="57">
        <f ca="1">COUNTIFS('Raw Data'!AB:AB, "1", 'Raw Data'!R:R, TRUE, 'Raw Data'!S:S, TRUE)</f>
        <v>0</v>
      </c>
      <c r="F11" s="66" t="e">
        <f t="shared" ca="1" si="0"/>
        <v>#DIV/0!</v>
      </c>
      <c r="I11" s="31" t="s">
        <v>484</v>
      </c>
      <c r="J11" s="54"/>
      <c r="K11" s="54"/>
      <c r="L11" s="77" t="e">
        <f ca="1">SUMIFS('Raw Data'!I:I, 'Raw Data'!R:R, TRUE, 'Raw Data'!S:S, TRUE, 'Raw Data'!AB:AB, "1") / E11</f>
        <v>#DIV/0!</v>
      </c>
      <c r="M11" s="77" t="e">
        <f ca="1">SUMIFS('Raw Data'!M:M, 'Raw Data'!R:R, TRUE, 'Raw Data'!S:S, TRUE, 'Raw Data'!AB:AB, "1") / E11</f>
        <v>#DIV/0!</v>
      </c>
      <c r="N11" s="70" t="e">
        <f ca="1">SUMIFS('Raw Data'!N:N, 'Raw Data'!R:R, TRUE, 'Raw Data'!S:S, TRUE, 'Raw Data'!AB:AB, "1") / E11</f>
        <v>#DIV/0!</v>
      </c>
      <c r="O11" s="42" t="e">
        <f ca="1">SUMIFS('Raw Data'!H:H, 'Raw Data'!R:R, TRUE, 'Raw Data'!S:S, TRUE, 'Raw Data'!AB:AB, "1") / E11</f>
        <v>#DIV/0!</v>
      </c>
      <c r="P11" s="69" t="e">
        <f ca="1">SUMIFS('Raw Data'!L:L, 'Raw Data'!R:R, TRUE, 'Raw Data'!S:S, TRUE, 'Raw Data'!AB:AB, "1") / E11</f>
        <v>#DIV/0!</v>
      </c>
      <c r="Q11" s="60" t="e">
        <f ca="1">SUMIFS('Raw Data'!K:K, 'Raw Data'!R:R, TRUE, 'Raw Data'!S:S, TRUE, 'Raw Data'!AB:AB, "1") / E11</f>
        <v>#DIV/0!</v>
      </c>
    </row>
    <row r="12" spans="2:17" x14ac:dyDescent="0.35">
      <c r="B12" s="31" t="s">
        <v>485</v>
      </c>
      <c r="C12" s="54"/>
      <c r="D12" s="57"/>
      <c r="E12" s="57">
        <f ca="1">COUNTIFS('Raw Data'!AC:AC, "1", 'Raw Data'!R:R, TRUE, 'Raw Data'!S:S, TRUE)</f>
        <v>0</v>
      </c>
      <c r="F12" s="66" t="e">
        <f t="shared" ca="1" si="0"/>
        <v>#DIV/0!</v>
      </c>
      <c r="I12" s="31" t="s">
        <v>485</v>
      </c>
      <c r="J12" s="54"/>
      <c r="K12" s="54"/>
      <c r="L12" s="77" t="e">
        <f ca="1">SUMIFS('Raw Data'!I:I, 'Raw Data'!R:R, TRUE, 'Raw Data'!S:S, TRUE, 'Raw Data'!AC:AC, "1") / E12</f>
        <v>#DIV/0!</v>
      </c>
      <c r="M12" s="77" t="e">
        <f ca="1">SUMIFS('Raw Data'!M:M, 'Raw Data'!R:R, TRUE, 'Raw Data'!S:S, TRUE, 'Raw Data'!AC:AC, "1") / E12</f>
        <v>#DIV/0!</v>
      </c>
      <c r="N12" s="70" t="e">
        <f ca="1">SUMIFS('Raw Data'!N:N, 'Raw Data'!R:R, TRUE, 'Raw Data'!S:S, TRUE, 'Raw Data'!AC:AC, "1") / E12</f>
        <v>#DIV/0!</v>
      </c>
      <c r="O12" s="42" t="e">
        <f ca="1">SUMIFS('Raw Data'!H:H, 'Raw Data'!R:R, TRUE, 'Raw Data'!S:S, TRUE, 'Raw Data'!AC:AC, "1") / E12</f>
        <v>#DIV/0!</v>
      </c>
      <c r="P12" s="69" t="e">
        <f ca="1">SUMIFS('Raw Data'!L:L, 'Raw Data'!R:R, TRUE, 'Raw Data'!S:S, TRUE, 'Raw Data'!AC:AC, "1") / E12</f>
        <v>#DIV/0!</v>
      </c>
      <c r="Q12" s="60" t="e">
        <f ca="1">SUMIFS('Raw Data'!K:K, 'Raw Data'!R:R, TRUE, 'Raw Data'!S:S, TRUE, 'Raw Data'!AC:AC, "1") / E12</f>
        <v>#DIV/0!</v>
      </c>
    </row>
    <row r="13" spans="2:17" x14ac:dyDescent="0.35">
      <c r="B13" s="62" t="s">
        <v>486</v>
      </c>
      <c r="C13" s="54"/>
      <c r="D13" s="57"/>
      <c r="E13" s="57">
        <f ca="1">COUNTIFS('Raw Data'!AG:AG, "1", 'Raw Data'!R:R, TRUE, 'Raw Data'!S:S, TRUE)</f>
        <v>0</v>
      </c>
      <c r="F13" s="66" t="e">
        <f t="shared" ca="1" si="0"/>
        <v>#DIV/0!</v>
      </c>
      <c r="I13" s="62" t="s">
        <v>486</v>
      </c>
      <c r="J13" s="54"/>
      <c r="K13" s="54"/>
      <c r="L13" s="77" t="e">
        <f ca="1">SUMIFS('Raw Data'!I:I, 'Raw Data'!R:R, TRUE, 'Raw Data'!S:S, TRUE, 'Raw Data'!AG:AG, "1") / E13</f>
        <v>#DIV/0!</v>
      </c>
      <c r="M13" s="77" t="e">
        <f ca="1">SUMIFS('Raw Data'!M:M, 'Raw Data'!R:R, TRUE, 'Raw Data'!S:S, TRUE, 'Raw Data'!AG:AG, "1") / E13</f>
        <v>#DIV/0!</v>
      </c>
      <c r="N13" s="70" t="e">
        <f ca="1">SUMIFS('Raw Data'!N:N, 'Raw Data'!R:R, TRUE, 'Raw Data'!S:S, TRUE, 'Raw Data'!AG:AG, "1") / E13</f>
        <v>#DIV/0!</v>
      </c>
      <c r="O13" s="42" t="e">
        <f ca="1">SUMIFS('Raw Data'!H:H, 'Raw Data'!R:R, TRUE, 'Raw Data'!S:S, TRUE, 'Raw Data'!AG:AG, "1") / E13</f>
        <v>#DIV/0!</v>
      </c>
      <c r="P13" s="69" t="e">
        <f ca="1">SUMIFS('Raw Data'!L:L, 'Raw Data'!R:R, TRUE, 'Raw Data'!S:S, TRUE, 'Raw Data'!AG:AG, "1") / E13</f>
        <v>#DIV/0!</v>
      </c>
      <c r="Q13" s="60" t="e">
        <f ca="1">SUMIFS('Raw Data'!K:K, 'Raw Data'!R:R, TRUE, 'Raw Data'!S:S, TRUE, 'Raw Data'!AG:AG, "1") / E13</f>
        <v>#DIV/0!</v>
      </c>
    </row>
    <row r="14" spans="2:17" ht="15" thickBot="1" x14ac:dyDescent="0.4">
      <c r="B14" s="64" t="s">
        <v>487</v>
      </c>
      <c r="C14" s="55"/>
      <c r="D14" s="58"/>
      <c r="E14" s="58">
        <f ca="1">COUNTIFS('Raw Data'!AH:AH, "1", 'Raw Data'!R:R, TRUE, 'Raw Data'!S:S, TRUE)</f>
        <v>0</v>
      </c>
      <c r="F14" s="67" t="e">
        <f t="shared" ca="1" si="0"/>
        <v>#DIV/0!</v>
      </c>
      <c r="I14" s="64" t="s">
        <v>487</v>
      </c>
      <c r="J14" s="55"/>
      <c r="K14" s="55"/>
      <c r="L14" s="78" t="e">
        <f ca="1">SUMIFS('Raw Data'!I:I, 'Raw Data'!R:R, TRUE, 'Raw Data'!S:S, TRUE, 'Raw Data'!AH:AH, "1") / E14</f>
        <v>#DIV/0!</v>
      </c>
      <c r="M14" s="78" t="e">
        <f ca="1">SUMIFS('Raw Data'!M:M, 'Raw Data'!R:R, TRUE, 'Raw Data'!S:S, TRUE, 'Raw Data'!AH:AH, "1") / E14</f>
        <v>#DIV/0!</v>
      </c>
      <c r="N14" s="74" t="e">
        <f ca="1">SUMIFS('Raw Data'!N:N, 'Raw Data'!R:R, TRUE, 'Raw Data'!S:S, TRUE, 'Raw Data'!AH:AH, "1") / E14</f>
        <v>#DIV/0!</v>
      </c>
      <c r="O14" s="43" t="e">
        <f ca="1">SUMIFS('Raw Data'!H:H, 'Raw Data'!R:R, TRUE, 'Raw Data'!S:S, TRUE, 'Raw Data'!AH:AH, "1") / E14</f>
        <v>#DIV/0!</v>
      </c>
      <c r="P14" s="73" t="e">
        <f ca="1">SUMIFS('Raw Data'!L:L, 'Raw Data'!R:R, TRUE, 'Raw Data'!S:S, TRUE, 'Raw Data'!AH:AH, "1") / E14</f>
        <v>#DIV/0!</v>
      </c>
      <c r="Q14" s="61" t="e">
        <f ca="1">SUMIFS('Raw Data'!K:K, 'Raw Data'!R:R, TRUE, 'Raw Data'!S:S, TRUE, 'Raw Data'!AH:AH, "1") / E14</f>
        <v>#DIV/0!</v>
      </c>
    </row>
    <row r="15" spans="2:17" x14ac:dyDescent="0.35">
      <c r="E15">
        <f ca="1">COUNTIFS('Raw Data'!R:R, TRUE, 'Raw Data'!S:S, TRUE)</f>
        <v>0</v>
      </c>
    </row>
  </sheetData>
  <mergeCells count="2">
    <mergeCell ref="B2:D2"/>
    <mergeCell ref="I2:K2"/>
  </mergeCells>
  <conditionalFormatting sqref="L3:L14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4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255FB-BF0D-491C-A44E-A9A4EABEE521}">
  <sheetPr codeName="Sheet3"/>
  <dimension ref="A1:G116"/>
  <sheetViews>
    <sheetView topLeftCell="A32" zoomScale="69" workbookViewId="0">
      <selection activeCell="A3" sqref="A3"/>
    </sheetView>
  </sheetViews>
  <sheetFormatPr defaultRowHeight="14.5" x14ac:dyDescent="0.35"/>
  <cols>
    <col min="1" max="1" width="75.1796875" bestFit="1" customWidth="1"/>
    <col min="2" max="2" width="17.54296875" bestFit="1" customWidth="1"/>
    <col min="3" max="3" width="15.26953125" bestFit="1" customWidth="1"/>
    <col min="4" max="4" width="19.90625" bestFit="1" customWidth="1"/>
    <col min="5" max="5" width="17.6328125" bestFit="1" customWidth="1"/>
    <col min="6" max="6" width="20.453125" bestFit="1" customWidth="1"/>
    <col min="7" max="7" width="13.453125" bestFit="1" customWidth="1"/>
  </cols>
  <sheetData>
    <row r="1" spans="1:7" x14ac:dyDescent="0.35">
      <c r="A1" s="26" t="s">
        <v>15</v>
      </c>
      <c r="B1" t="s">
        <v>31</v>
      </c>
      <c r="D1" s="26" t="s">
        <v>16</v>
      </c>
      <c r="E1" t="s">
        <v>31</v>
      </c>
    </row>
    <row r="3" spans="1:7" x14ac:dyDescent="0.35">
      <c r="A3" s="26" t="s">
        <v>23</v>
      </c>
      <c r="B3" t="s">
        <v>30</v>
      </c>
      <c r="C3" t="s">
        <v>29</v>
      </c>
      <c r="D3" t="s">
        <v>28</v>
      </c>
      <c r="E3" t="s">
        <v>27</v>
      </c>
      <c r="F3" s="16" t="s">
        <v>26</v>
      </c>
      <c r="G3" t="s">
        <v>25</v>
      </c>
    </row>
    <row r="4" spans="1:7" x14ac:dyDescent="0.35">
      <c r="A4" s="27" t="s">
        <v>468</v>
      </c>
      <c r="B4" s="21">
        <v>36.442352941176466</v>
      </c>
      <c r="C4" s="16">
        <v>311098.4117647059</v>
      </c>
      <c r="D4" s="87">
        <v>2550.6176470588234</v>
      </c>
      <c r="E4" s="87">
        <v>474.19667647058822</v>
      </c>
      <c r="F4" s="16">
        <v>5847386.4705882352</v>
      </c>
      <c r="G4" s="21">
        <v>3.8452941176470592</v>
      </c>
    </row>
    <row r="5" spans="1:7" x14ac:dyDescent="0.35">
      <c r="A5" s="28" t="s">
        <v>20</v>
      </c>
      <c r="B5" s="21">
        <v>46.667692307692306</v>
      </c>
      <c r="C5" s="16">
        <v>256659.76923076922</v>
      </c>
      <c r="D5" s="87">
        <v>1454.0769230769231</v>
      </c>
      <c r="E5" s="87">
        <v>189.85423076923078</v>
      </c>
      <c r="F5" s="16">
        <v>4700643.923076923</v>
      </c>
      <c r="G5" s="21">
        <v>4</v>
      </c>
    </row>
    <row r="6" spans="1:7" x14ac:dyDescent="0.35">
      <c r="A6" s="29" t="s">
        <v>54</v>
      </c>
      <c r="B6" s="21">
        <v>48.48</v>
      </c>
      <c r="C6" s="16">
        <v>704048</v>
      </c>
      <c r="D6" s="87">
        <v>8197</v>
      </c>
      <c r="E6" s="87">
        <v>491.96899999999999</v>
      </c>
      <c r="F6" s="16">
        <v>15648435</v>
      </c>
      <c r="G6" s="21">
        <v>3.04</v>
      </c>
    </row>
    <row r="7" spans="1:7" x14ac:dyDescent="0.35">
      <c r="A7" s="29" t="s">
        <v>311</v>
      </c>
      <c r="B7" s="21">
        <v>39.880000000000003</v>
      </c>
      <c r="C7" s="16">
        <v>382717</v>
      </c>
      <c r="D7" s="87">
        <v>2559</v>
      </c>
      <c r="E7" s="87">
        <v>332.72699999999998</v>
      </c>
      <c r="F7" s="16">
        <v>6453127</v>
      </c>
      <c r="G7" s="21">
        <v>4.33</v>
      </c>
    </row>
    <row r="8" spans="1:7" x14ac:dyDescent="0.35">
      <c r="A8" s="29" t="s">
        <v>122</v>
      </c>
      <c r="B8" s="21">
        <v>37.56</v>
      </c>
      <c r="C8" s="16">
        <v>349517</v>
      </c>
      <c r="D8" s="87">
        <v>2184</v>
      </c>
      <c r="E8" s="87">
        <v>466.279</v>
      </c>
      <c r="F8" s="16">
        <v>5593924</v>
      </c>
      <c r="G8" s="21">
        <v>4.57</v>
      </c>
    </row>
    <row r="9" spans="1:7" hidden="1" x14ac:dyDescent="0.35">
      <c r="A9" s="29" t="s">
        <v>82</v>
      </c>
      <c r="B9" s="21">
        <v>50.67</v>
      </c>
      <c r="C9" s="16">
        <v>325030</v>
      </c>
      <c r="D9" s="87">
        <v>1557</v>
      </c>
      <c r="E9" s="87">
        <v>186.92500000000001</v>
      </c>
      <c r="F9" s="16">
        <v>5917871</v>
      </c>
      <c r="G9" s="21">
        <v>4.05</v>
      </c>
    </row>
    <row r="10" spans="1:7" x14ac:dyDescent="0.35">
      <c r="A10" s="29" t="s">
        <v>85</v>
      </c>
      <c r="B10" s="21">
        <v>54.59</v>
      </c>
      <c r="C10" s="16">
        <v>225052</v>
      </c>
      <c r="D10" s="87">
        <v>609</v>
      </c>
      <c r="E10" s="87">
        <v>389.43200000000002</v>
      </c>
      <c r="F10" s="16">
        <v>4558415</v>
      </c>
      <c r="G10" s="21">
        <v>3.58</v>
      </c>
    </row>
    <row r="11" spans="1:7" x14ac:dyDescent="0.35">
      <c r="A11" s="29" t="s">
        <v>102</v>
      </c>
      <c r="B11" s="21">
        <v>53.53</v>
      </c>
      <c r="C11" s="16">
        <v>218190</v>
      </c>
      <c r="D11" s="87">
        <v>653</v>
      </c>
      <c r="E11" s="87">
        <v>77.625</v>
      </c>
      <c r="F11" s="16">
        <v>3329077</v>
      </c>
      <c r="G11" s="21">
        <v>4.7300000000000004</v>
      </c>
    </row>
    <row r="12" spans="1:7" x14ac:dyDescent="0.35">
      <c r="A12" s="29" t="s">
        <v>98</v>
      </c>
      <c r="B12" s="21">
        <v>52.5</v>
      </c>
      <c r="C12" s="16">
        <v>205643</v>
      </c>
      <c r="D12" s="87">
        <v>791</v>
      </c>
      <c r="E12" s="87">
        <v>114.422</v>
      </c>
      <c r="F12" s="16">
        <v>3508012</v>
      </c>
      <c r="G12" s="21">
        <v>4.3</v>
      </c>
    </row>
    <row r="13" spans="1:7" x14ac:dyDescent="0.35">
      <c r="A13" s="29" t="s">
        <v>76</v>
      </c>
      <c r="B13" s="21">
        <v>52.32</v>
      </c>
      <c r="C13" s="16">
        <v>194225</v>
      </c>
      <c r="D13" s="87">
        <v>386</v>
      </c>
      <c r="E13" s="87">
        <v>0</v>
      </c>
      <c r="F13" s="16">
        <v>2784203</v>
      </c>
      <c r="G13" s="21">
        <v>4.8899999999999997</v>
      </c>
    </row>
    <row r="14" spans="1:7" hidden="1" x14ac:dyDescent="0.35">
      <c r="A14" s="29" t="s">
        <v>89</v>
      </c>
      <c r="B14" s="21">
        <v>43.46</v>
      </c>
      <c r="C14" s="16">
        <v>190789</v>
      </c>
      <c r="D14" s="87">
        <v>525</v>
      </c>
      <c r="E14" s="87">
        <v>261.03500000000003</v>
      </c>
      <c r="F14" s="16">
        <v>3602948</v>
      </c>
      <c r="G14" s="21">
        <v>3.9</v>
      </c>
    </row>
    <row r="15" spans="1:7" x14ac:dyDescent="0.35">
      <c r="A15" s="29" t="s">
        <v>315</v>
      </c>
      <c r="B15" s="21">
        <v>44.46</v>
      </c>
      <c r="C15" s="16">
        <v>169125</v>
      </c>
      <c r="D15" s="87">
        <v>567</v>
      </c>
      <c r="E15" s="87">
        <v>0</v>
      </c>
      <c r="F15" s="16">
        <v>2857789</v>
      </c>
      <c r="G15" s="21">
        <v>4.4400000000000004</v>
      </c>
    </row>
    <row r="16" spans="1:7" x14ac:dyDescent="0.35">
      <c r="A16" s="29" t="s">
        <v>140</v>
      </c>
      <c r="B16" s="21">
        <v>41.49</v>
      </c>
      <c r="C16" s="16">
        <v>158809</v>
      </c>
      <c r="D16" s="87">
        <v>580</v>
      </c>
      <c r="E16" s="87">
        <v>29.963999999999999</v>
      </c>
      <c r="F16" s="16">
        <v>2203605</v>
      </c>
      <c r="G16" s="21">
        <v>4.78</v>
      </c>
    </row>
    <row r="17" spans="1:7" hidden="1" x14ac:dyDescent="0.35">
      <c r="A17" s="29" t="s">
        <v>103</v>
      </c>
      <c r="B17" s="21">
        <v>42.14</v>
      </c>
      <c r="C17" s="16">
        <v>149002</v>
      </c>
      <c r="D17" s="87">
        <v>178</v>
      </c>
      <c r="E17" s="87">
        <v>30.327999999999999</v>
      </c>
      <c r="F17" s="16">
        <v>2699324</v>
      </c>
      <c r="G17" s="21">
        <v>3.14</v>
      </c>
    </row>
    <row r="18" spans="1:7" hidden="1" x14ac:dyDescent="0.35">
      <c r="A18" s="29" t="s">
        <v>144</v>
      </c>
      <c r="B18" s="21">
        <v>45.6</v>
      </c>
      <c r="C18" s="16">
        <v>64430</v>
      </c>
      <c r="D18" s="87">
        <v>117</v>
      </c>
      <c r="E18" s="87">
        <v>87.399000000000001</v>
      </c>
      <c r="F18" s="16">
        <v>1951641</v>
      </c>
      <c r="G18" s="21">
        <v>2.25</v>
      </c>
    </row>
    <row r="19" spans="1:7" x14ac:dyDescent="0.35">
      <c r="A19" s="28" t="s">
        <v>21</v>
      </c>
      <c r="B19" s="21">
        <v>32.782142857142858</v>
      </c>
      <c r="C19" s="16">
        <v>227256.5</v>
      </c>
      <c r="D19" s="87">
        <v>1045.7142857142858</v>
      </c>
      <c r="E19" s="87">
        <v>325.4255714285714</v>
      </c>
      <c r="F19" s="16">
        <v>4388118.8571428573</v>
      </c>
      <c r="G19" s="21">
        <v>3.7728571428571422</v>
      </c>
    </row>
    <row r="20" spans="1:7" x14ac:dyDescent="0.35">
      <c r="A20" s="29" t="s">
        <v>100</v>
      </c>
      <c r="B20" s="21">
        <v>33.99</v>
      </c>
      <c r="C20" s="16">
        <v>595481</v>
      </c>
      <c r="D20" s="87">
        <v>5109</v>
      </c>
      <c r="E20" s="87">
        <v>783.66899999999998</v>
      </c>
      <c r="F20" s="16">
        <v>14142970</v>
      </c>
      <c r="G20" s="21">
        <v>3.18</v>
      </c>
    </row>
    <row r="21" spans="1:7" hidden="1" x14ac:dyDescent="0.35">
      <c r="A21" s="29" t="s">
        <v>93</v>
      </c>
      <c r="B21" s="21">
        <v>29.66</v>
      </c>
      <c r="C21" s="16">
        <v>465598</v>
      </c>
      <c r="D21" s="87">
        <v>2208</v>
      </c>
      <c r="E21" s="87">
        <v>349.33300000000003</v>
      </c>
      <c r="F21" s="16">
        <v>8009400</v>
      </c>
      <c r="G21" s="21">
        <v>3.67</v>
      </c>
    </row>
    <row r="22" spans="1:7" x14ac:dyDescent="0.35">
      <c r="A22" s="29" t="s">
        <v>104</v>
      </c>
      <c r="B22" s="21">
        <v>25.09</v>
      </c>
      <c r="C22" s="16">
        <v>350545</v>
      </c>
      <c r="D22" s="87">
        <v>1325</v>
      </c>
      <c r="E22" s="87">
        <v>1130.1980000000001</v>
      </c>
      <c r="F22" s="16">
        <v>3309708</v>
      </c>
      <c r="G22" s="21">
        <v>7.53</v>
      </c>
    </row>
    <row r="23" spans="1:7" x14ac:dyDescent="0.35">
      <c r="A23" s="29" t="s">
        <v>101</v>
      </c>
      <c r="B23" s="21">
        <v>37.56</v>
      </c>
      <c r="C23" s="16">
        <v>345872</v>
      </c>
      <c r="D23" s="87">
        <v>1035</v>
      </c>
      <c r="E23" s="87">
        <v>471.91500000000002</v>
      </c>
      <c r="F23" s="16">
        <v>10147704</v>
      </c>
      <c r="G23" s="21">
        <v>2.21</v>
      </c>
    </row>
    <row r="24" spans="1:7" x14ac:dyDescent="0.35">
      <c r="A24" s="29" t="s">
        <v>148</v>
      </c>
      <c r="B24" s="21">
        <v>42.51</v>
      </c>
      <c r="C24" s="16">
        <v>319779</v>
      </c>
      <c r="D24" s="87">
        <v>947</v>
      </c>
      <c r="E24" s="87">
        <v>1079.3630000000001</v>
      </c>
      <c r="F24" s="16">
        <v>3772338</v>
      </c>
      <c r="G24" s="21">
        <v>5.56</v>
      </c>
    </row>
    <row r="25" spans="1:7" x14ac:dyDescent="0.35">
      <c r="A25" s="29" t="s">
        <v>77</v>
      </c>
      <c r="B25" s="21">
        <v>39</v>
      </c>
      <c r="C25" s="16">
        <v>238562</v>
      </c>
      <c r="D25" s="87">
        <v>1301</v>
      </c>
      <c r="E25" s="87">
        <v>0</v>
      </c>
      <c r="F25" s="16">
        <v>3701705</v>
      </c>
      <c r="G25" s="21">
        <v>4.47</v>
      </c>
    </row>
    <row r="26" spans="1:7" x14ac:dyDescent="0.35">
      <c r="A26" s="29" t="s">
        <v>201</v>
      </c>
      <c r="B26" s="21">
        <v>24.86</v>
      </c>
      <c r="C26" s="16">
        <v>155895</v>
      </c>
      <c r="D26" s="87">
        <v>1117</v>
      </c>
      <c r="E26" s="87">
        <v>11.087</v>
      </c>
      <c r="F26" s="16">
        <v>2485531</v>
      </c>
      <c r="G26" s="21">
        <v>4.5599999999999996</v>
      </c>
    </row>
    <row r="27" spans="1:7" hidden="1" x14ac:dyDescent="0.35">
      <c r="A27" s="29" t="s">
        <v>128</v>
      </c>
      <c r="B27" s="21">
        <v>40.93</v>
      </c>
      <c r="C27" s="16">
        <v>132355</v>
      </c>
      <c r="D27" s="87">
        <v>318</v>
      </c>
      <c r="E27" s="87">
        <v>47.271999999999998</v>
      </c>
      <c r="F27" s="16">
        <v>2390549</v>
      </c>
      <c r="G27" s="21">
        <v>3.9</v>
      </c>
    </row>
    <row r="28" spans="1:7" x14ac:dyDescent="0.35">
      <c r="A28" s="29" t="s">
        <v>362</v>
      </c>
      <c r="B28" s="21">
        <v>34.31</v>
      </c>
      <c r="C28" s="16">
        <v>128585</v>
      </c>
      <c r="D28" s="87">
        <v>418</v>
      </c>
      <c r="E28" s="87">
        <v>0</v>
      </c>
      <c r="F28" s="16">
        <v>2765841</v>
      </c>
      <c r="G28" s="21">
        <v>3.34</v>
      </c>
    </row>
    <row r="29" spans="1:7" x14ac:dyDescent="0.35">
      <c r="A29" s="29" t="s">
        <v>152</v>
      </c>
      <c r="B29" s="21">
        <v>46.4</v>
      </c>
      <c r="C29" s="16">
        <v>117941</v>
      </c>
      <c r="D29" s="87">
        <v>182</v>
      </c>
      <c r="E29" s="87">
        <v>285.16899999999998</v>
      </c>
      <c r="F29" s="16">
        <v>2391634</v>
      </c>
      <c r="G29" s="21">
        <v>3.41</v>
      </c>
    </row>
    <row r="30" spans="1:7" x14ac:dyDescent="0.35">
      <c r="A30" s="29" t="s">
        <v>168</v>
      </c>
      <c r="B30" s="21">
        <v>26.04</v>
      </c>
      <c r="C30" s="16">
        <v>96705</v>
      </c>
      <c r="D30" s="87">
        <v>362</v>
      </c>
      <c r="E30" s="87">
        <v>175.12799999999999</v>
      </c>
      <c r="F30" s="16">
        <v>2077963</v>
      </c>
      <c r="G30" s="21">
        <v>3.32</v>
      </c>
    </row>
    <row r="31" spans="1:7" x14ac:dyDescent="0.35">
      <c r="A31" s="29" t="s">
        <v>280</v>
      </c>
      <c r="B31" s="21">
        <v>25.07</v>
      </c>
      <c r="C31" s="16">
        <v>87541</v>
      </c>
      <c r="D31" s="87">
        <v>256</v>
      </c>
      <c r="E31" s="87">
        <v>6.9169999999999998</v>
      </c>
      <c r="F31" s="16">
        <v>2241164</v>
      </c>
      <c r="G31" s="21">
        <v>2.79</v>
      </c>
    </row>
    <row r="32" spans="1:7" x14ac:dyDescent="0.35">
      <c r="A32" s="29" t="s">
        <v>167</v>
      </c>
      <c r="B32" s="21">
        <v>33.29</v>
      </c>
      <c r="C32" s="16">
        <v>81379</v>
      </c>
      <c r="D32" s="87">
        <v>65</v>
      </c>
      <c r="E32" s="87">
        <v>116.236</v>
      </c>
      <c r="F32" s="16">
        <v>2273348</v>
      </c>
      <c r="G32" s="21">
        <v>2.29</v>
      </c>
    </row>
    <row r="33" spans="1:7" x14ac:dyDescent="0.35">
      <c r="A33" s="29" t="s">
        <v>206</v>
      </c>
      <c r="B33" s="21">
        <v>20.239999999999998</v>
      </c>
      <c r="C33" s="16">
        <v>65353</v>
      </c>
      <c r="D33" s="87">
        <v>-3</v>
      </c>
      <c r="E33" s="87">
        <v>99.671000000000006</v>
      </c>
      <c r="F33" s="16">
        <v>1723809</v>
      </c>
      <c r="G33" s="21">
        <v>2.59</v>
      </c>
    </row>
    <row r="34" spans="1:7" x14ac:dyDescent="0.35">
      <c r="A34" s="28" t="s">
        <v>22</v>
      </c>
      <c r="B34" s="21">
        <v>24.772857142857141</v>
      </c>
      <c r="C34" s="16">
        <v>579882.57142857148</v>
      </c>
      <c r="D34" s="87">
        <v>7596.8571428571431</v>
      </c>
      <c r="E34" s="87">
        <v>1299.8034285714286</v>
      </c>
      <c r="F34" s="16">
        <v>10895586.428571429</v>
      </c>
      <c r="G34" s="21">
        <v>3.7028571428571433</v>
      </c>
    </row>
    <row r="35" spans="1:7" x14ac:dyDescent="0.35">
      <c r="A35" s="29" t="s">
        <v>53</v>
      </c>
      <c r="B35" s="21">
        <v>21.54</v>
      </c>
      <c r="C35" s="16">
        <v>1774151</v>
      </c>
      <c r="D35" s="87">
        <v>36052</v>
      </c>
      <c r="E35" s="87">
        <v>3054.058</v>
      </c>
      <c r="F35" s="16">
        <v>34976921</v>
      </c>
      <c r="G35" s="21">
        <v>3.67</v>
      </c>
    </row>
    <row r="36" spans="1:7" x14ac:dyDescent="0.35">
      <c r="A36" s="29" t="s">
        <v>438</v>
      </c>
      <c r="B36" s="21">
        <v>22.92</v>
      </c>
      <c r="C36" s="16">
        <v>637834</v>
      </c>
      <c r="D36" s="87">
        <v>4529</v>
      </c>
      <c r="E36" s="87">
        <v>1357.059</v>
      </c>
      <c r="F36" s="16">
        <v>10557253</v>
      </c>
      <c r="G36" s="21">
        <v>4.41</v>
      </c>
    </row>
    <row r="37" spans="1:7" x14ac:dyDescent="0.35">
      <c r="A37" s="29" t="s">
        <v>337</v>
      </c>
      <c r="B37" s="21">
        <v>16.07</v>
      </c>
      <c r="C37" s="16">
        <v>596337</v>
      </c>
      <c r="D37" s="87">
        <v>3977</v>
      </c>
      <c r="E37" s="87">
        <v>2549.0630000000001</v>
      </c>
      <c r="F37" s="16">
        <v>7690732</v>
      </c>
      <c r="G37" s="21">
        <v>5.4</v>
      </c>
    </row>
    <row r="38" spans="1:7" x14ac:dyDescent="0.35">
      <c r="A38" s="29" t="s">
        <v>112</v>
      </c>
      <c r="B38" s="21">
        <v>32.04</v>
      </c>
      <c r="C38" s="16">
        <v>504347</v>
      </c>
      <c r="D38" s="87">
        <v>7144</v>
      </c>
      <c r="E38" s="87">
        <v>1127.49</v>
      </c>
      <c r="F38" s="16">
        <v>11606070</v>
      </c>
      <c r="G38" s="21">
        <v>2.79</v>
      </c>
    </row>
    <row r="39" spans="1:7" x14ac:dyDescent="0.35">
      <c r="A39" s="29" t="s">
        <v>182</v>
      </c>
      <c r="B39" s="21">
        <v>20</v>
      </c>
      <c r="C39" s="16">
        <v>271147</v>
      </c>
      <c r="D39" s="87">
        <v>297</v>
      </c>
      <c r="E39" s="87">
        <v>401.71100000000001</v>
      </c>
      <c r="F39" s="16">
        <v>5320425</v>
      </c>
      <c r="G39" s="21">
        <v>3.7</v>
      </c>
    </row>
    <row r="40" spans="1:7" x14ac:dyDescent="0.35">
      <c r="A40" s="29" t="s">
        <v>142</v>
      </c>
      <c r="B40" s="21">
        <v>33.61</v>
      </c>
      <c r="C40" s="16">
        <v>181234</v>
      </c>
      <c r="D40" s="87">
        <v>498</v>
      </c>
      <c r="E40" s="87">
        <v>472.20400000000001</v>
      </c>
      <c r="F40" s="16">
        <v>3409309</v>
      </c>
      <c r="G40" s="21">
        <v>3.37</v>
      </c>
    </row>
    <row r="41" spans="1:7" x14ac:dyDescent="0.35">
      <c r="A41" s="29" t="s">
        <v>178</v>
      </c>
      <c r="B41" s="21">
        <v>27.23</v>
      </c>
      <c r="C41" s="16">
        <v>94128</v>
      </c>
      <c r="D41" s="87">
        <v>681</v>
      </c>
      <c r="E41" s="87">
        <v>137.03899999999999</v>
      </c>
      <c r="F41" s="16">
        <v>2708395</v>
      </c>
      <c r="G41" s="21">
        <v>2.58</v>
      </c>
    </row>
    <row r="42" spans="1:7" x14ac:dyDescent="0.35">
      <c r="A42" s="27" t="s">
        <v>467</v>
      </c>
      <c r="B42" s="21">
        <v>41.402499999999996</v>
      </c>
      <c r="C42" s="16">
        <v>427876.5625</v>
      </c>
      <c r="D42" s="87">
        <v>4394.0625</v>
      </c>
      <c r="E42" s="87">
        <v>545.71256249999999</v>
      </c>
      <c r="F42" s="16">
        <v>6337873</v>
      </c>
      <c r="G42" s="21">
        <v>4.3581249999999985</v>
      </c>
    </row>
    <row r="43" spans="1:7" x14ac:dyDescent="0.35">
      <c r="A43" s="28" t="s">
        <v>460</v>
      </c>
      <c r="B43" s="21">
        <v>23.34</v>
      </c>
      <c r="C43" s="16">
        <v>3064134</v>
      </c>
      <c r="D43" s="87">
        <v>37946</v>
      </c>
      <c r="E43" s="87">
        <v>2754.5639999999999</v>
      </c>
      <c r="F43" s="16">
        <v>37218061</v>
      </c>
      <c r="G43" s="21">
        <v>5.62</v>
      </c>
    </row>
    <row r="44" spans="1:7" x14ac:dyDescent="0.35">
      <c r="A44" s="28" t="s">
        <v>20</v>
      </c>
      <c r="B44" s="21">
        <v>51.093750000000007</v>
      </c>
      <c r="C44" s="16">
        <v>230798.375</v>
      </c>
      <c r="D44" s="87">
        <v>1265.5</v>
      </c>
      <c r="E44" s="87">
        <v>281.272875</v>
      </c>
      <c r="F44" s="16">
        <v>3184717.75</v>
      </c>
      <c r="G44" s="21">
        <v>4.7537499999999993</v>
      </c>
    </row>
    <row r="45" spans="1:7" x14ac:dyDescent="0.35">
      <c r="A45" s="29" t="s">
        <v>56</v>
      </c>
      <c r="B45" s="21">
        <v>65.12</v>
      </c>
      <c r="C45" s="16">
        <v>475952</v>
      </c>
      <c r="D45" s="87">
        <v>3037</v>
      </c>
      <c r="E45" s="87">
        <v>561.49400000000003</v>
      </c>
      <c r="F45" s="16">
        <v>6099187</v>
      </c>
      <c r="G45" s="21">
        <v>5.66</v>
      </c>
    </row>
    <row r="46" spans="1:7" x14ac:dyDescent="0.35">
      <c r="A46" s="29" t="s">
        <v>73</v>
      </c>
      <c r="B46" s="21">
        <v>49.05</v>
      </c>
      <c r="C46" s="16">
        <v>419826</v>
      </c>
      <c r="D46" s="87">
        <v>3790</v>
      </c>
      <c r="E46" s="87">
        <v>371.98599999999999</v>
      </c>
      <c r="F46" s="16">
        <v>5623019</v>
      </c>
      <c r="G46" s="21">
        <v>4.95</v>
      </c>
    </row>
    <row r="47" spans="1:7" x14ac:dyDescent="0.35">
      <c r="A47" s="29" t="s">
        <v>61</v>
      </c>
      <c r="B47" s="21">
        <v>52.42</v>
      </c>
      <c r="C47" s="16">
        <v>325384</v>
      </c>
      <c r="D47" s="87">
        <v>1693</v>
      </c>
      <c r="E47" s="87">
        <v>841.33500000000004</v>
      </c>
      <c r="F47" s="16">
        <v>3866479</v>
      </c>
      <c r="G47" s="21">
        <v>5.56</v>
      </c>
    </row>
    <row r="48" spans="1:7" x14ac:dyDescent="0.35">
      <c r="A48" s="29" t="s">
        <v>80</v>
      </c>
      <c r="B48" s="21">
        <v>52.63</v>
      </c>
      <c r="C48" s="16">
        <v>156837</v>
      </c>
      <c r="D48" s="87">
        <v>533</v>
      </c>
      <c r="E48" s="87">
        <v>45.317999999999998</v>
      </c>
      <c r="F48" s="16">
        <v>2023992</v>
      </c>
      <c r="G48" s="21">
        <v>5.0999999999999996</v>
      </c>
    </row>
    <row r="49" spans="1:7" x14ac:dyDescent="0.35">
      <c r="A49" s="29" t="s">
        <v>143</v>
      </c>
      <c r="B49" s="21">
        <v>40.49</v>
      </c>
      <c r="C49" s="16">
        <v>134740</v>
      </c>
      <c r="D49" s="87">
        <v>559</v>
      </c>
      <c r="E49" s="87">
        <v>67.281000000000006</v>
      </c>
      <c r="F49" s="16">
        <v>2085098</v>
      </c>
      <c r="G49" s="21">
        <v>4.37</v>
      </c>
    </row>
    <row r="50" spans="1:7" x14ac:dyDescent="0.35">
      <c r="A50" s="29" t="s">
        <v>134</v>
      </c>
      <c r="B50" s="21">
        <v>51.29</v>
      </c>
      <c r="C50" s="16">
        <v>129160</v>
      </c>
      <c r="D50" s="87">
        <v>233</v>
      </c>
      <c r="E50" s="87">
        <v>51.345999999999997</v>
      </c>
      <c r="F50" s="16">
        <v>2598951</v>
      </c>
      <c r="G50" s="21">
        <v>3.5</v>
      </c>
    </row>
    <row r="51" spans="1:7" x14ac:dyDescent="0.35">
      <c r="A51" s="29" t="s">
        <v>163</v>
      </c>
      <c r="B51" s="21">
        <v>51.42</v>
      </c>
      <c r="C51" s="16">
        <v>108837</v>
      </c>
      <c r="D51" s="87">
        <v>-85</v>
      </c>
      <c r="E51" s="87">
        <v>169.185</v>
      </c>
      <c r="F51" s="16">
        <v>1352150</v>
      </c>
      <c r="G51" s="21">
        <v>5.37</v>
      </c>
    </row>
    <row r="52" spans="1:7" x14ac:dyDescent="0.35">
      <c r="A52" s="29" t="s">
        <v>137</v>
      </c>
      <c r="B52" s="21">
        <v>46.33</v>
      </c>
      <c r="C52" s="16">
        <v>95651</v>
      </c>
      <c r="D52" s="87">
        <v>364</v>
      </c>
      <c r="E52" s="87">
        <v>142.238</v>
      </c>
      <c r="F52" s="16">
        <v>1828866</v>
      </c>
      <c r="G52" s="21">
        <v>3.52</v>
      </c>
    </row>
    <row r="53" spans="1:7" x14ac:dyDescent="0.35">
      <c r="A53" s="28" t="s">
        <v>21</v>
      </c>
      <c r="B53" s="21">
        <v>33.491666666666667</v>
      </c>
      <c r="C53" s="16">
        <v>285029</v>
      </c>
      <c r="D53" s="87">
        <v>3325.3333333333335</v>
      </c>
      <c r="E53" s="87">
        <v>471.56666666666666</v>
      </c>
      <c r="F53" s="16">
        <v>5661229.166666667</v>
      </c>
      <c r="G53" s="21">
        <v>3.8766666666666665</v>
      </c>
    </row>
    <row r="54" spans="1:7" x14ac:dyDescent="0.35">
      <c r="A54" s="29" t="s">
        <v>69</v>
      </c>
      <c r="B54" s="21">
        <v>33.880000000000003</v>
      </c>
      <c r="C54" s="16">
        <v>651441</v>
      </c>
      <c r="D54" s="87">
        <v>11533</v>
      </c>
      <c r="E54" s="87">
        <v>1620.1379999999999</v>
      </c>
      <c r="F54" s="16">
        <v>16786115</v>
      </c>
      <c r="G54" s="21">
        <v>2.5099999999999998</v>
      </c>
    </row>
    <row r="55" spans="1:7" x14ac:dyDescent="0.35">
      <c r="A55" s="29" t="s">
        <v>97</v>
      </c>
      <c r="B55" s="21">
        <v>31.85</v>
      </c>
      <c r="C55" s="16">
        <v>339088</v>
      </c>
      <c r="D55" s="87">
        <v>3615</v>
      </c>
      <c r="E55" s="87">
        <v>902.97699999999998</v>
      </c>
      <c r="F55" s="16">
        <v>4636091</v>
      </c>
      <c r="G55" s="21">
        <v>4.59</v>
      </c>
    </row>
    <row r="56" spans="1:7" x14ac:dyDescent="0.35">
      <c r="A56" s="29" t="s">
        <v>88</v>
      </c>
      <c r="B56" s="21">
        <v>39.25</v>
      </c>
      <c r="C56" s="16">
        <v>319269</v>
      </c>
      <c r="D56" s="87">
        <v>3231</v>
      </c>
      <c r="E56" s="87">
        <v>295.923</v>
      </c>
      <c r="F56" s="16">
        <v>6541914</v>
      </c>
      <c r="G56" s="21">
        <v>3.44</v>
      </c>
    </row>
    <row r="57" spans="1:7" x14ac:dyDescent="0.35">
      <c r="A57" s="29" t="s">
        <v>124</v>
      </c>
      <c r="B57" s="21">
        <v>38.29</v>
      </c>
      <c r="C57" s="16">
        <v>161069</v>
      </c>
      <c r="D57" s="87">
        <v>704</v>
      </c>
      <c r="E57" s="87">
        <v>0</v>
      </c>
      <c r="F57" s="16">
        <v>2124061</v>
      </c>
      <c r="G57" s="21">
        <v>5.12</v>
      </c>
    </row>
    <row r="58" spans="1:7" x14ac:dyDescent="0.35">
      <c r="A58" s="29" t="s">
        <v>278</v>
      </c>
      <c r="B58" s="21">
        <v>27.87</v>
      </c>
      <c r="C58" s="16">
        <v>157163</v>
      </c>
      <c r="D58" s="87">
        <v>664</v>
      </c>
      <c r="E58" s="87">
        <v>0</v>
      </c>
      <c r="F58" s="16">
        <v>2235003</v>
      </c>
      <c r="G58" s="21">
        <v>4.3</v>
      </c>
    </row>
    <row r="59" spans="1:7" x14ac:dyDescent="0.35">
      <c r="A59" s="29" t="s">
        <v>187</v>
      </c>
      <c r="B59" s="21">
        <v>29.81</v>
      </c>
      <c r="C59" s="16">
        <v>82144</v>
      </c>
      <c r="D59" s="87">
        <v>205</v>
      </c>
      <c r="E59" s="87">
        <v>10.362</v>
      </c>
      <c r="F59" s="16">
        <v>1644191</v>
      </c>
      <c r="G59" s="21">
        <v>3.3</v>
      </c>
    </row>
    <row r="60" spans="1:7" x14ac:dyDescent="0.35">
      <c r="A60" s="28" t="s">
        <v>22</v>
      </c>
      <c r="B60" s="21">
        <v>29.4</v>
      </c>
      <c r="C60" s="16">
        <v>225330</v>
      </c>
      <c r="D60" s="87">
        <v>2283</v>
      </c>
      <c r="E60" s="87">
        <v>897.25400000000002</v>
      </c>
      <c r="F60" s="16">
        <v>4742790</v>
      </c>
      <c r="G60" s="21">
        <v>2.82</v>
      </c>
    </row>
    <row r="61" spans="1:7" x14ac:dyDescent="0.35">
      <c r="A61" s="29" t="s">
        <v>117</v>
      </c>
      <c r="B61" s="21">
        <v>29.4</v>
      </c>
      <c r="C61" s="16">
        <v>225330</v>
      </c>
      <c r="D61" s="87">
        <v>2283</v>
      </c>
      <c r="E61" s="87">
        <v>897.25400000000002</v>
      </c>
      <c r="F61" s="16">
        <v>4742790</v>
      </c>
      <c r="G61" s="21">
        <v>2.82</v>
      </c>
    </row>
    <row r="62" spans="1:7" x14ac:dyDescent="0.35">
      <c r="A62" s="27" t="s">
        <v>469</v>
      </c>
      <c r="B62" s="21">
        <v>30.49666666666667</v>
      </c>
      <c r="C62" s="16">
        <v>314653.77777777775</v>
      </c>
      <c r="D62" s="87">
        <v>3174.8888888888887</v>
      </c>
      <c r="E62" s="87">
        <v>326.33144444444446</v>
      </c>
      <c r="F62" s="16">
        <v>5432028</v>
      </c>
      <c r="G62" s="21">
        <v>4.03</v>
      </c>
    </row>
    <row r="63" spans="1:7" x14ac:dyDescent="0.35">
      <c r="A63" s="28" t="s">
        <v>20</v>
      </c>
      <c r="B63" s="21">
        <v>38.045000000000002</v>
      </c>
      <c r="C63" s="16">
        <v>267932.5</v>
      </c>
      <c r="D63" s="87">
        <v>1699.5</v>
      </c>
      <c r="E63" s="87">
        <v>202.745</v>
      </c>
      <c r="F63" s="16">
        <v>3873134</v>
      </c>
      <c r="G63" s="21">
        <v>4.91</v>
      </c>
    </row>
    <row r="64" spans="1:7" x14ac:dyDescent="0.35">
      <c r="A64" s="29" t="s">
        <v>68</v>
      </c>
      <c r="B64" s="21">
        <v>45.77</v>
      </c>
      <c r="C64" s="16">
        <v>294407</v>
      </c>
      <c r="D64" s="87">
        <v>2918</v>
      </c>
      <c r="E64" s="87">
        <v>170.56899999999999</v>
      </c>
      <c r="F64" s="16">
        <v>4011066</v>
      </c>
      <c r="G64" s="21">
        <v>5.04</v>
      </c>
    </row>
    <row r="65" spans="1:7" x14ac:dyDescent="0.35">
      <c r="A65" s="29" t="s">
        <v>127</v>
      </c>
      <c r="B65" s="21">
        <v>30.32</v>
      </c>
      <c r="C65" s="16">
        <v>241458</v>
      </c>
      <c r="D65" s="87">
        <v>481</v>
      </c>
      <c r="E65" s="87">
        <v>234.92099999999999</v>
      </c>
      <c r="F65" s="16">
        <v>3735202</v>
      </c>
      <c r="G65" s="21">
        <v>4.78</v>
      </c>
    </row>
    <row r="66" spans="1:7" x14ac:dyDescent="0.35">
      <c r="A66" s="28" t="s">
        <v>21</v>
      </c>
      <c r="B66" s="21">
        <v>35.855000000000004</v>
      </c>
      <c r="C66" s="16">
        <v>232914.75</v>
      </c>
      <c r="D66" s="87">
        <v>1604.5</v>
      </c>
      <c r="E66" s="87">
        <v>53.958500000000001</v>
      </c>
      <c r="F66" s="16">
        <v>3644252</v>
      </c>
      <c r="G66" s="21">
        <v>4.1475</v>
      </c>
    </row>
    <row r="67" spans="1:7" x14ac:dyDescent="0.35">
      <c r="A67" s="29" t="s">
        <v>83</v>
      </c>
      <c r="B67" s="21">
        <v>30.65</v>
      </c>
      <c r="C67" s="16">
        <v>368991</v>
      </c>
      <c r="D67" s="87">
        <v>4131</v>
      </c>
      <c r="E67" s="87">
        <v>0</v>
      </c>
      <c r="F67" s="16">
        <v>4394694</v>
      </c>
      <c r="G67" s="21">
        <v>5.1100000000000003</v>
      </c>
    </row>
    <row r="68" spans="1:7" x14ac:dyDescent="0.35">
      <c r="A68" s="29" t="s">
        <v>99</v>
      </c>
      <c r="B68" s="21">
        <v>38.159999999999997</v>
      </c>
      <c r="C68" s="16">
        <v>251665</v>
      </c>
      <c r="D68" s="87">
        <v>1213</v>
      </c>
      <c r="E68" s="87">
        <v>130.542</v>
      </c>
      <c r="F68" s="16">
        <v>4486722</v>
      </c>
      <c r="G68" s="21">
        <v>4.0199999999999996</v>
      </c>
    </row>
    <row r="69" spans="1:7" x14ac:dyDescent="0.35">
      <c r="A69" s="29" t="s">
        <v>106</v>
      </c>
      <c r="B69" s="21">
        <v>38.4</v>
      </c>
      <c r="C69" s="16">
        <v>168142</v>
      </c>
      <c r="D69" s="87">
        <v>323</v>
      </c>
      <c r="E69" s="87">
        <v>45.713000000000001</v>
      </c>
      <c r="F69" s="16">
        <v>2915626</v>
      </c>
      <c r="G69" s="21">
        <v>4.1100000000000003</v>
      </c>
    </row>
    <row r="70" spans="1:7" x14ac:dyDescent="0.35">
      <c r="A70" s="29" t="s">
        <v>164</v>
      </c>
      <c r="B70" s="21">
        <v>36.21</v>
      </c>
      <c r="C70" s="16">
        <v>142861</v>
      </c>
      <c r="D70" s="87">
        <v>751</v>
      </c>
      <c r="E70" s="87">
        <v>39.579000000000001</v>
      </c>
      <c r="F70" s="16">
        <v>2779966</v>
      </c>
      <c r="G70" s="21">
        <v>3.35</v>
      </c>
    </row>
    <row r="71" spans="1:7" x14ac:dyDescent="0.35">
      <c r="A71" s="28" t="s">
        <v>22</v>
      </c>
      <c r="B71" s="21">
        <v>18.32</v>
      </c>
      <c r="C71" s="16">
        <v>454786.66666666669</v>
      </c>
      <c r="D71" s="87">
        <v>6252.333333333333</v>
      </c>
      <c r="E71" s="87">
        <v>771.88633333333337</v>
      </c>
      <c r="F71" s="16">
        <v>8854992</v>
      </c>
      <c r="G71" s="21">
        <v>3.2866666666666666</v>
      </c>
    </row>
    <row r="72" spans="1:7" x14ac:dyDescent="0.35">
      <c r="A72" s="29" t="s">
        <v>119</v>
      </c>
      <c r="B72" s="21">
        <v>25.68</v>
      </c>
      <c r="C72" s="16">
        <v>743966</v>
      </c>
      <c r="D72" s="87">
        <v>16535</v>
      </c>
      <c r="E72" s="87">
        <v>1031.646</v>
      </c>
      <c r="F72" s="16">
        <v>15154153</v>
      </c>
      <c r="G72" s="21">
        <v>3.23</v>
      </c>
    </row>
    <row r="73" spans="1:7" x14ac:dyDescent="0.35">
      <c r="A73" s="29" t="s">
        <v>369</v>
      </c>
      <c r="B73" s="21">
        <v>13.11</v>
      </c>
      <c r="C73" s="16">
        <v>486986</v>
      </c>
      <c r="D73" s="87">
        <v>1862</v>
      </c>
      <c r="E73" s="87">
        <v>1207.9760000000001</v>
      </c>
      <c r="F73" s="16">
        <v>8675786</v>
      </c>
      <c r="G73" s="21">
        <v>3.7</v>
      </c>
    </row>
    <row r="74" spans="1:7" x14ac:dyDescent="0.35">
      <c r="A74" s="29" t="s">
        <v>216</v>
      </c>
      <c r="B74" s="21">
        <v>16.170000000000002</v>
      </c>
      <c r="C74" s="16">
        <v>133408</v>
      </c>
      <c r="D74" s="87">
        <v>360</v>
      </c>
      <c r="E74" s="87">
        <v>76.037000000000006</v>
      </c>
      <c r="F74" s="16">
        <v>2735037</v>
      </c>
      <c r="G74" s="21">
        <v>2.93</v>
      </c>
    </row>
    <row r="75" spans="1:7" x14ac:dyDescent="0.35">
      <c r="A75" s="27" t="s">
        <v>456</v>
      </c>
      <c r="B75" s="21">
        <v>7.2788461538461515</v>
      </c>
      <c r="C75" s="16">
        <v>46901.346153846156</v>
      </c>
      <c r="D75" s="87">
        <v>-14.923076923076923</v>
      </c>
      <c r="E75" s="87">
        <v>102.74311538461538</v>
      </c>
      <c r="F75" s="16">
        <v>1736674.076923077</v>
      </c>
      <c r="G75" s="21">
        <v>1.5115384615384617</v>
      </c>
    </row>
    <row r="76" spans="1:7" x14ac:dyDescent="0.35">
      <c r="A76" s="27" t="s">
        <v>457</v>
      </c>
      <c r="B76" s="21">
        <v>40.469999999999992</v>
      </c>
      <c r="C76" s="16">
        <v>285052.63636363635</v>
      </c>
      <c r="D76" s="87">
        <v>4614.727272727273</v>
      </c>
      <c r="E76" s="87">
        <v>450.0236363636364</v>
      </c>
      <c r="F76" s="16">
        <v>5315632.3636363633</v>
      </c>
      <c r="G76" s="21">
        <v>3.76</v>
      </c>
    </row>
    <row r="77" spans="1:7" x14ac:dyDescent="0.35">
      <c r="A77" s="28" t="s">
        <v>20</v>
      </c>
      <c r="B77" s="21">
        <v>42.98</v>
      </c>
      <c r="C77" s="16">
        <v>136896.5</v>
      </c>
      <c r="D77" s="87">
        <v>1191.3333333333333</v>
      </c>
      <c r="E77" s="87">
        <v>102.01899999999999</v>
      </c>
      <c r="F77" s="16">
        <v>2228419.3333333335</v>
      </c>
      <c r="G77" s="21">
        <v>3.9333333333333336</v>
      </c>
    </row>
    <row r="78" spans="1:7" x14ac:dyDescent="0.35">
      <c r="A78" s="29" t="s">
        <v>62</v>
      </c>
      <c r="B78" s="21">
        <v>47.62</v>
      </c>
      <c r="C78" s="16">
        <v>249641</v>
      </c>
      <c r="D78" s="87">
        <v>4041</v>
      </c>
      <c r="E78" s="87">
        <v>278.52800000000002</v>
      </c>
      <c r="F78" s="16">
        <v>4042819</v>
      </c>
      <c r="G78" s="21">
        <v>4.29</v>
      </c>
    </row>
    <row r="79" spans="1:7" x14ac:dyDescent="0.35">
      <c r="A79" s="29" t="s">
        <v>78</v>
      </c>
      <c r="B79" s="21">
        <v>47.45</v>
      </c>
      <c r="C79" s="16">
        <v>186837</v>
      </c>
      <c r="D79" s="87">
        <v>1350</v>
      </c>
      <c r="E79" s="87">
        <v>0</v>
      </c>
      <c r="F79" s="16">
        <v>2420977</v>
      </c>
      <c r="G79" s="21">
        <v>4.7300000000000004</v>
      </c>
    </row>
    <row r="80" spans="1:7" x14ac:dyDescent="0.35">
      <c r="A80" s="29" t="s">
        <v>114</v>
      </c>
      <c r="B80" s="21">
        <v>43.81</v>
      </c>
      <c r="C80" s="16">
        <v>137458</v>
      </c>
      <c r="D80" s="87">
        <v>634</v>
      </c>
      <c r="E80" s="87">
        <v>48.463000000000001</v>
      </c>
      <c r="F80" s="16">
        <v>2513697</v>
      </c>
      <c r="G80" s="21">
        <v>3.56</v>
      </c>
    </row>
    <row r="81" spans="1:7" x14ac:dyDescent="0.35">
      <c r="A81" s="29" t="s">
        <v>107</v>
      </c>
      <c r="B81" s="21">
        <v>39.56</v>
      </c>
      <c r="C81" s="16">
        <v>101720</v>
      </c>
      <c r="D81" s="87">
        <v>373</v>
      </c>
      <c r="E81" s="87">
        <v>0</v>
      </c>
      <c r="F81" s="16">
        <v>1655360</v>
      </c>
      <c r="G81" s="21">
        <v>3.59</v>
      </c>
    </row>
    <row r="82" spans="1:7" x14ac:dyDescent="0.35">
      <c r="A82" s="29" t="s">
        <v>199</v>
      </c>
      <c r="B82" s="21">
        <v>45.2</v>
      </c>
      <c r="C82" s="16">
        <v>96180</v>
      </c>
      <c r="D82" s="87">
        <v>713</v>
      </c>
      <c r="E82" s="87">
        <v>240.89599999999999</v>
      </c>
      <c r="F82" s="16">
        <v>2051154</v>
      </c>
      <c r="G82" s="21">
        <v>2.92</v>
      </c>
    </row>
    <row r="83" spans="1:7" x14ac:dyDescent="0.35">
      <c r="A83" s="29" t="s">
        <v>379</v>
      </c>
      <c r="B83" s="21">
        <v>34.24</v>
      </c>
      <c r="C83" s="16">
        <v>49543</v>
      </c>
      <c r="D83" s="87">
        <v>37</v>
      </c>
      <c r="E83" s="87">
        <v>44.226999999999997</v>
      </c>
      <c r="F83" s="16">
        <v>686509</v>
      </c>
      <c r="G83" s="21">
        <v>4.51</v>
      </c>
    </row>
    <row r="84" spans="1:7" x14ac:dyDescent="0.35">
      <c r="A84" s="28" t="s">
        <v>21</v>
      </c>
      <c r="B84" s="21">
        <v>37.458000000000006</v>
      </c>
      <c r="C84" s="16">
        <v>462840</v>
      </c>
      <c r="D84" s="87">
        <v>8722.7999999999993</v>
      </c>
      <c r="E84" s="87">
        <v>867.62919999999997</v>
      </c>
      <c r="F84" s="16">
        <v>9020288</v>
      </c>
      <c r="G84" s="21">
        <v>3.5520000000000005</v>
      </c>
    </row>
    <row r="85" spans="1:7" x14ac:dyDescent="0.35">
      <c r="A85" s="29" t="s">
        <v>58</v>
      </c>
      <c r="B85" s="21">
        <v>40.53</v>
      </c>
      <c r="C85" s="16">
        <v>729333</v>
      </c>
      <c r="D85" s="87">
        <v>18142</v>
      </c>
      <c r="E85" s="87">
        <v>1983.8489999999999</v>
      </c>
      <c r="F85" s="16">
        <v>14166685</v>
      </c>
      <c r="G85" s="21">
        <v>3.04</v>
      </c>
    </row>
    <row r="86" spans="1:7" x14ac:dyDescent="0.35">
      <c r="A86" s="29" t="s">
        <v>65</v>
      </c>
      <c r="B86" s="21">
        <v>41.45</v>
      </c>
      <c r="C86" s="16">
        <v>708806</v>
      </c>
      <c r="D86" s="87">
        <v>15701</v>
      </c>
      <c r="E86" s="87">
        <v>1574.251</v>
      </c>
      <c r="F86" s="16">
        <v>17443621</v>
      </c>
      <c r="G86" s="21">
        <v>2.68</v>
      </c>
    </row>
    <row r="87" spans="1:7" x14ac:dyDescent="0.35">
      <c r="A87" s="29" t="s">
        <v>105</v>
      </c>
      <c r="B87" s="21">
        <v>33.659999999999997</v>
      </c>
      <c r="C87" s="16">
        <v>409343</v>
      </c>
      <c r="D87" s="87">
        <v>4767</v>
      </c>
      <c r="E87" s="87">
        <v>526.55499999999995</v>
      </c>
      <c r="F87" s="16">
        <v>6096749</v>
      </c>
      <c r="G87" s="21">
        <v>4.01</v>
      </c>
    </row>
    <row r="88" spans="1:7" x14ac:dyDescent="0.35">
      <c r="A88" s="29" t="s">
        <v>110</v>
      </c>
      <c r="B88" s="21">
        <v>39.14</v>
      </c>
      <c r="C88" s="16">
        <v>281319</v>
      </c>
      <c r="D88" s="87">
        <v>3497</v>
      </c>
      <c r="E88" s="87">
        <v>177.51300000000001</v>
      </c>
      <c r="F88" s="16">
        <v>4419105</v>
      </c>
      <c r="G88" s="21">
        <v>3.93</v>
      </c>
    </row>
    <row r="89" spans="1:7" x14ac:dyDescent="0.35">
      <c r="A89" s="29" t="s">
        <v>138</v>
      </c>
      <c r="B89" s="21">
        <v>32.51</v>
      </c>
      <c r="C89" s="16">
        <v>185399</v>
      </c>
      <c r="D89" s="87">
        <v>1507</v>
      </c>
      <c r="E89" s="87">
        <v>75.977999999999994</v>
      </c>
      <c r="F89" s="16">
        <v>2975280</v>
      </c>
      <c r="G89" s="21">
        <v>4.0999999999999996</v>
      </c>
    </row>
    <row r="90" spans="1:7" x14ac:dyDescent="0.35">
      <c r="A90" s="27" t="s">
        <v>470</v>
      </c>
      <c r="B90" s="21">
        <v>33.105714285714285</v>
      </c>
      <c r="C90" s="16">
        <v>399207.23809523811</v>
      </c>
      <c r="D90" s="87">
        <v>2832.6190476190477</v>
      </c>
      <c r="E90" s="87">
        <v>664.59447619047614</v>
      </c>
      <c r="F90" s="16">
        <v>6156678.9523809524</v>
      </c>
      <c r="G90" s="21">
        <v>4.5957142857142852</v>
      </c>
    </row>
    <row r="91" spans="1:7" x14ac:dyDescent="0.35">
      <c r="A91" s="28" t="s">
        <v>20</v>
      </c>
      <c r="B91" s="21">
        <v>45.405000000000001</v>
      </c>
      <c r="C91" s="16">
        <v>192684.25</v>
      </c>
      <c r="D91" s="87">
        <v>734.5</v>
      </c>
      <c r="E91" s="87">
        <v>285.87824999999998</v>
      </c>
      <c r="F91" s="16">
        <v>2818691.25</v>
      </c>
      <c r="G91" s="21">
        <v>4.9424999999999999</v>
      </c>
    </row>
    <row r="92" spans="1:7" x14ac:dyDescent="0.35">
      <c r="A92" s="29" t="s">
        <v>64</v>
      </c>
      <c r="B92" s="21">
        <v>39.549999999999997</v>
      </c>
      <c r="C92" s="16">
        <v>360779</v>
      </c>
      <c r="D92" s="87">
        <v>1618</v>
      </c>
      <c r="E92" s="87">
        <v>666.32899999999995</v>
      </c>
      <c r="F92" s="16">
        <v>5425597</v>
      </c>
      <c r="G92" s="21">
        <v>4.6399999999999997</v>
      </c>
    </row>
    <row r="93" spans="1:7" x14ac:dyDescent="0.35">
      <c r="A93" s="29" t="s">
        <v>136</v>
      </c>
      <c r="B93" s="21">
        <v>52.84</v>
      </c>
      <c r="C93" s="16">
        <v>147337</v>
      </c>
      <c r="D93" s="87">
        <v>420</v>
      </c>
      <c r="E93" s="87">
        <v>196.351</v>
      </c>
      <c r="F93" s="16">
        <v>2318146</v>
      </c>
      <c r="G93" s="21">
        <v>4.5599999999999996</v>
      </c>
    </row>
    <row r="94" spans="1:7" x14ac:dyDescent="0.35">
      <c r="A94" s="29" t="s">
        <v>95</v>
      </c>
      <c r="B94" s="21">
        <v>46.56</v>
      </c>
      <c r="C94" s="16">
        <v>139750</v>
      </c>
      <c r="D94" s="87">
        <v>484</v>
      </c>
      <c r="E94" s="87">
        <v>181.45500000000001</v>
      </c>
      <c r="F94" s="16">
        <v>1850390</v>
      </c>
      <c r="G94" s="21">
        <v>5.29</v>
      </c>
    </row>
    <row r="95" spans="1:7" x14ac:dyDescent="0.35">
      <c r="A95" s="29" t="s">
        <v>151</v>
      </c>
      <c r="B95" s="21">
        <v>42.67</v>
      </c>
      <c r="C95" s="16">
        <v>122871</v>
      </c>
      <c r="D95" s="87">
        <v>416</v>
      </c>
      <c r="E95" s="87">
        <v>99.378</v>
      </c>
      <c r="F95" s="16">
        <v>1680632</v>
      </c>
      <c r="G95" s="21">
        <v>5.28</v>
      </c>
    </row>
    <row r="96" spans="1:7" x14ac:dyDescent="0.35">
      <c r="A96" s="28" t="s">
        <v>21</v>
      </c>
      <c r="B96" s="21">
        <v>32.572499999999998</v>
      </c>
      <c r="C96" s="16">
        <v>438836.08333333331</v>
      </c>
      <c r="D96" s="87">
        <v>2708.6666666666665</v>
      </c>
      <c r="E96" s="87">
        <v>715.56483333333324</v>
      </c>
      <c r="F96" s="16">
        <v>6354347.666666667</v>
      </c>
      <c r="G96" s="21">
        <v>4.7774999999999999</v>
      </c>
    </row>
    <row r="97" spans="1:7" x14ac:dyDescent="0.35">
      <c r="A97" s="29" t="s">
        <v>60</v>
      </c>
      <c r="B97" s="21">
        <v>33.520000000000003</v>
      </c>
      <c r="C97" s="16">
        <v>1344512</v>
      </c>
      <c r="D97" s="87">
        <v>11589</v>
      </c>
      <c r="E97" s="87">
        <v>2878.2460000000001</v>
      </c>
      <c r="F97" s="16">
        <v>19467368</v>
      </c>
      <c r="G97" s="21">
        <v>4.72</v>
      </c>
    </row>
    <row r="98" spans="1:7" x14ac:dyDescent="0.35">
      <c r="A98" s="29" t="s">
        <v>71</v>
      </c>
      <c r="B98" s="21">
        <v>27.5</v>
      </c>
      <c r="C98" s="16">
        <v>944537</v>
      </c>
      <c r="D98" s="87">
        <v>4548</v>
      </c>
      <c r="E98" s="87">
        <v>1252.289</v>
      </c>
      <c r="F98" s="16">
        <v>12400157</v>
      </c>
      <c r="G98" s="21">
        <v>4.8099999999999996</v>
      </c>
    </row>
    <row r="99" spans="1:7" x14ac:dyDescent="0.35">
      <c r="A99" s="29" t="s">
        <v>72</v>
      </c>
      <c r="B99" s="21">
        <v>40.25</v>
      </c>
      <c r="C99" s="16">
        <v>414135</v>
      </c>
      <c r="D99" s="87">
        <v>2712</v>
      </c>
      <c r="E99" s="87">
        <v>785.93399999999997</v>
      </c>
      <c r="F99" s="16">
        <v>6648001</v>
      </c>
      <c r="G99" s="21">
        <v>4.29</v>
      </c>
    </row>
    <row r="100" spans="1:7" x14ac:dyDescent="0.35">
      <c r="A100" s="29" t="s">
        <v>66</v>
      </c>
      <c r="B100" s="21">
        <v>43.51</v>
      </c>
      <c r="C100" s="16">
        <v>370379</v>
      </c>
      <c r="D100" s="87">
        <v>2030</v>
      </c>
      <c r="E100" s="87">
        <v>633.65899999999999</v>
      </c>
      <c r="F100" s="16">
        <v>7056226</v>
      </c>
      <c r="G100" s="21">
        <v>3.71</v>
      </c>
    </row>
    <row r="101" spans="1:7" x14ac:dyDescent="0.35">
      <c r="A101" s="29" t="s">
        <v>118</v>
      </c>
      <c r="B101" s="21">
        <v>33.15</v>
      </c>
      <c r="C101" s="16">
        <v>361818</v>
      </c>
      <c r="D101" s="87">
        <v>2173</v>
      </c>
      <c r="E101" s="87">
        <v>539.93600000000004</v>
      </c>
      <c r="F101" s="16">
        <v>6062850</v>
      </c>
      <c r="G101" s="21">
        <v>4.3899999999999997</v>
      </c>
    </row>
    <row r="102" spans="1:7" x14ac:dyDescent="0.35">
      <c r="A102" s="29" t="s">
        <v>70</v>
      </c>
      <c r="B102" s="21">
        <v>34.4</v>
      </c>
      <c r="C102" s="16">
        <v>353128</v>
      </c>
      <c r="D102" s="87">
        <v>2771</v>
      </c>
      <c r="E102" s="87">
        <v>0</v>
      </c>
      <c r="F102" s="16">
        <v>3641720</v>
      </c>
      <c r="G102" s="21">
        <v>6.26</v>
      </c>
    </row>
    <row r="103" spans="1:7" x14ac:dyDescent="0.35">
      <c r="A103" s="29" t="s">
        <v>108</v>
      </c>
      <c r="B103" s="21">
        <v>26.52</v>
      </c>
      <c r="C103" s="16">
        <v>344968</v>
      </c>
      <c r="D103" s="87">
        <v>1818</v>
      </c>
      <c r="E103" s="87">
        <v>682.64599999999996</v>
      </c>
      <c r="F103" s="16">
        <v>5249394</v>
      </c>
      <c r="G103" s="21">
        <v>4.82</v>
      </c>
    </row>
    <row r="104" spans="1:7" x14ac:dyDescent="0.35">
      <c r="A104" s="29" t="s">
        <v>94</v>
      </c>
      <c r="B104" s="21">
        <v>32.409999999999997</v>
      </c>
      <c r="C104" s="16">
        <v>326135</v>
      </c>
      <c r="D104" s="87">
        <v>649</v>
      </c>
      <c r="E104" s="87">
        <v>448.04399999999998</v>
      </c>
      <c r="F104" s="16">
        <v>4279246</v>
      </c>
      <c r="G104" s="21">
        <v>5.62</v>
      </c>
    </row>
    <row r="105" spans="1:7" x14ac:dyDescent="0.35">
      <c r="A105" s="29" t="s">
        <v>96</v>
      </c>
      <c r="B105" s="21">
        <v>32.32</v>
      </c>
      <c r="C105" s="16">
        <v>257461</v>
      </c>
      <c r="D105" s="87">
        <v>1465</v>
      </c>
      <c r="E105" s="87">
        <v>544.93799999999999</v>
      </c>
      <c r="F105" s="16">
        <v>3378734</v>
      </c>
      <c r="G105" s="21">
        <v>5.39</v>
      </c>
    </row>
    <row r="106" spans="1:7" x14ac:dyDescent="0.35">
      <c r="A106" s="29" t="s">
        <v>120</v>
      </c>
      <c r="B106" s="21">
        <v>26.78</v>
      </c>
      <c r="C106" s="16">
        <v>209244</v>
      </c>
      <c r="D106" s="87">
        <v>1214</v>
      </c>
      <c r="E106" s="87">
        <v>313.87799999999999</v>
      </c>
      <c r="F106" s="16">
        <v>2969845</v>
      </c>
      <c r="G106" s="21">
        <v>4.5599999999999996</v>
      </c>
    </row>
    <row r="107" spans="1:7" x14ac:dyDescent="0.35">
      <c r="A107" s="29" t="s">
        <v>92</v>
      </c>
      <c r="B107" s="21">
        <v>37.9</v>
      </c>
      <c r="C107" s="16">
        <v>186557</v>
      </c>
      <c r="D107" s="87">
        <v>691</v>
      </c>
      <c r="E107" s="87">
        <v>383.42</v>
      </c>
      <c r="F107" s="16">
        <v>2643396</v>
      </c>
      <c r="G107" s="21">
        <v>4.5599999999999996</v>
      </c>
    </row>
    <row r="108" spans="1:7" x14ac:dyDescent="0.35">
      <c r="A108" s="29" t="s">
        <v>277</v>
      </c>
      <c r="B108" s="21">
        <v>22.61</v>
      </c>
      <c r="C108" s="16">
        <v>153159</v>
      </c>
      <c r="D108" s="87">
        <v>844</v>
      </c>
      <c r="E108" s="87">
        <v>123.788</v>
      </c>
      <c r="F108" s="16">
        <v>2455235</v>
      </c>
      <c r="G108" s="21">
        <v>4.2</v>
      </c>
    </row>
    <row r="109" spans="1:7" x14ac:dyDescent="0.35">
      <c r="A109" s="28" t="s">
        <v>22</v>
      </c>
      <c r="B109" s="21">
        <v>24.545999999999999</v>
      </c>
      <c r="C109" s="16">
        <v>469316.4</v>
      </c>
      <c r="D109" s="87">
        <v>4808.6000000000004</v>
      </c>
      <c r="E109" s="87">
        <v>845.23860000000002</v>
      </c>
      <c r="F109" s="16">
        <v>8352664.2000000002</v>
      </c>
      <c r="G109" s="21">
        <v>3.8820000000000001</v>
      </c>
    </row>
    <row r="110" spans="1:7" x14ac:dyDescent="0.35">
      <c r="A110" s="29" t="s">
        <v>116</v>
      </c>
      <c r="B110" s="21">
        <v>23.03</v>
      </c>
      <c r="C110" s="16">
        <v>704092</v>
      </c>
      <c r="D110" s="87">
        <v>8477</v>
      </c>
      <c r="E110" s="87">
        <v>1535.3209999999999</v>
      </c>
      <c r="F110" s="16">
        <v>9853812</v>
      </c>
      <c r="G110" s="21">
        <v>4.91</v>
      </c>
    </row>
    <row r="111" spans="1:7" x14ac:dyDescent="0.35">
      <c r="A111" s="29" t="s">
        <v>121</v>
      </c>
      <c r="B111" s="21">
        <v>24.33</v>
      </c>
      <c r="C111" s="16">
        <v>696013</v>
      </c>
      <c r="D111" s="87">
        <v>7244</v>
      </c>
      <c r="E111" s="87">
        <v>1456.0039999999999</v>
      </c>
      <c r="F111" s="16">
        <v>11353100</v>
      </c>
      <c r="G111" s="21">
        <v>4.38</v>
      </c>
    </row>
    <row r="112" spans="1:7" x14ac:dyDescent="0.35">
      <c r="A112" s="29" t="s">
        <v>111</v>
      </c>
      <c r="B112" s="21">
        <v>28.68</v>
      </c>
      <c r="C112" s="16">
        <v>552924</v>
      </c>
      <c r="D112" s="87">
        <v>6340</v>
      </c>
      <c r="E112" s="87">
        <v>786.36400000000003</v>
      </c>
      <c r="F112" s="16">
        <v>12864887</v>
      </c>
      <c r="G112" s="21">
        <v>2.99</v>
      </c>
    </row>
    <row r="113" spans="1:7" x14ac:dyDescent="0.35">
      <c r="A113" s="29" t="s">
        <v>139</v>
      </c>
      <c r="B113" s="21">
        <v>25.58</v>
      </c>
      <c r="C113" s="16">
        <v>235843</v>
      </c>
      <c r="D113" s="87">
        <v>1117</v>
      </c>
      <c r="E113" s="87">
        <v>180.232</v>
      </c>
      <c r="F113" s="16">
        <v>5277042</v>
      </c>
      <c r="G113" s="21">
        <v>3.18</v>
      </c>
    </row>
    <row r="114" spans="1:7" x14ac:dyDescent="0.35">
      <c r="A114" s="29" t="s">
        <v>162</v>
      </c>
      <c r="B114" s="21">
        <v>21.11</v>
      </c>
      <c r="C114" s="16">
        <v>157710</v>
      </c>
      <c r="D114" s="87">
        <v>865</v>
      </c>
      <c r="E114" s="87">
        <v>268.27199999999999</v>
      </c>
      <c r="F114" s="16">
        <v>2414480</v>
      </c>
      <c r="G114" s="21">
        <v>3.95</v>
      </c>
    </row>
    <row r="115" spans="1:7" x14ac:dyDescent="0.35">
      <c r="A115" s="27" t="s">
        <v>460</v>
      </c>
      <c r="B115" s="21">
        <v>16.86428571428571</v>
      </c>
      <c r="C115" s="16">
        <v>139708.71428571429</v>
      </c>
      <c r="D115" s="87">
        <v>447</v>
      </c>
      <c r="E115" s="87">
        <v>163.11257142857147</v>
      </c>
      <c r="F115" s="16">
        <v>2753441</v>
      </c>
      <c r="G115" s="21">
        <v>4.661428571428571</v>
      </c>
    </row>
    <row r="116" spans="1:7" x14ac:dyDescent="0.35">
      <c r="A116" s="27" t="s">
        <v>24</v>
      </c>
      <c r="B116" s="21">
        <v>29.222903225806448</v>
      </c>
      <c r="C116" s="16">
        <v>273964.37096774194</v>
      </c>
      <c r="D116" s="87">
        <v>2407.9677419354839</v>
      </c>
      <c r="E116" s="87">
        <v>407.34616129032258</v>
      </c>
      <c r="F116" s="16">
        <v>4849154.7338709673</v>
      </c>
      <c r="G116" s="21">
        <v>3.6011290322580645</v>
      </c>
    </row>
  </sheetData>
  <conditionalFormatting pivot="1" sqref="C4:C1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D4:D11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E4:E1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4:F1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0B9F-7A3B-4927-B4E7-5556FCFACA3F}">
  <sheetPr codeName="Sheet4"/>
  <dimension ref="B2:Q15"/>
  <sheetViews>
    <sheetView zoomScale="90" zoomScaleNormal="90" workbookViewId="0">
      <selection activeCell="M20" sqref="M20"/>
    </sheetView>
  </sheetViews>
  <sheetFormatPr defaultRowHeight="14.5" x14ac:dyDescent="0.35"/>
  <cols>
    <col min="9" max="9" width="22.6328125" customWidth="1"/>
    <col min="10" max="14" width="15.6328125" customWidth="1"/>
    <col min="15" max="15" width="12.36328125" customWidth="1"/>
    <col min="16" max="16" width="11.26953125" customWidth="1"/>
    <col min="17" max="17" width="12.54296875" customWidth="1"/>
  </cols>
  <sheetData>
    <row r="2" spans="2:17" ht="15" thickBot="1" x14ac:dyDescent="0.4"/>
    <row r="3" spans="2:17" ht="15" thickBot="1" x14ac:dyDescent="0.4">
      <c r="B3" s="96" t="s">
        <v>32</v>
      </c>
      <c r="C3" s="97"/>
      <c r="D3" s="97"/>
      <c r="E3" s="41" t="s">
        <v>33</v>
      </c>
      <c r="F3" s="30" t="s">
        <v>34</v>
      </c>
      <c r="I3" s="41" t="s">
        <v>14</v>
      </c>
      <c r="J3" s="41" t="s">
        <v>6</v>
      </c>
      <c r="K3" s="41" t="s">
        <v>3</v>
      </c>
      <c r="L3" s="41" t="s">
        <v>5</v>
      </c>
      <c r="M3" s="30" t="s">
        <v>50</v>
      </c>
      <c r="N3" s="30" t="s">
        <v>38</v>
      </c>
      <c r="O3" s="47" t="s">
        <v>464</v>
      </c>
      <c r="P3" s="47" t="s">
        <v>465</v>
      </c>
      <c r="Q3" s="47" t="s">
        <v>466</v>
      </c>
    </row>
    <row r="4" spans="2:17" x14ac:dyDescent="0.35">
      <c r="B4" s="102" t="s">
        <v>468</v>
      </c>
      <c r="C4" s="103"/>
      <c r="D4" s="103"/>
      <c r="E4" s="33">
        <f ca="1">COUNTIFS('Raw Data'!B:B, "A", 'Raw Data'!R:R, TRUE, 'Raw Data'!S:S, TRUE)</f>
        <v>0</v>
      </c>
      <c r="F4" s="35" t="e">
        <f ca="1">100*E4/SUM(E4:E9)</f>
        <v>#DIV/0!</v>
      </c>
      <c r="I4" s="31" t="s">
        <v>468</v>
      </c>
      <c r="J4" s="39" t="e">
        <f ca="1">SUMIFS('Raw Data'!L:L, 'Raw Data'!B:B, "A", 'Raw Data'!R:R, TRUE, 'Raw Data'!S:S, TRUE) / E4</f>
        <v>#DIV/0!</v>
      </c>
      <c r="K4" s="37" t="e">
        <f ca="1">SUMIFS('Raw Data'!I:I, 'Raw Data'!B:B, "A", 'Raw Data'!R:R, TRUE, 'Raw Data'!S:S, TRUE) / E4</f>
        <v>#DIV/0!</v>
      </c>
      <c r="L4" s="37" t="e">
        <f ca="1">SUMIFS('Raw Data'!M:M, 'Raw Data'!B:B, "A", 'Raw Data'!R:R, TRUE, 'Raw Data'!S:S, TRUE) / E4</f>
        <v>#DIV/0!</v>
      </c>
      <c r="M4" s="51" t="e">
        <f ca="1">SUMIFS('Raw Data'!K:K, 'Raw Data'!B:B, "A", 'Raw Data'!R:R, TRUE, 'Raw Data'!S:S, TRUE) / E4</f>
        <v>#DIV/0!</v>
      </c>
      <c r="N4" s="35" t="e">
        <f ca="1">SUMIFS('Raw Data'!N:N, 'Raw Data'!B:B, "A", 'Raw Data'!R:R, TRUE, 'Raw Data'!S:S, TRUE) / E4</f>
        <v>#DIV/0!</v>
      </c>
      <c r="O4" s="42">
        <f ca="1">SUMIFS('Raw Data'!AD:AD, 'Raw Data'!B:B, "A", 'Raw Data'!R:R, TRUE, 'Raw Data'!S:S, TRUE) / 20</f>
        <v>0</v>
      </c>
      <c r="P4" s="42">
        <f ca="1">SUMIFS('Raw Data'!AE:AE, 'Raw Data'!B:B, "A", 'Raw Data'!R:R, TRUE, 'Raw Data'!S:S, TRUE) / 20</f>
        <v>0</v>
      </c>
      <c r="Q4" s="48">
        <f ca="1">SUMIFS('Raw Data'!AF:AF, 'Raw Data'!B:B, "A", 'Raw Data'!R:R, TRUE, 'Raw Data'!S:S, TRUE) / 20</f>
        <v>0</v>
      </c>
    </row>
    <row r="5" spans="2:17" x14ac:dyDescent="0.35">
      <c r="B5" s="102" t="s">
        <v>467</v>
      </c>
      <c r="C5" s="103"/>
      <c r="D5" s="103"/>
      <c r="E5" s="33">
        <f ca="1">COUNTIFS('Raw Data'!B:B, "B", 'Raw Data'!R:R, TRUE, 'Raw Data'!S:S, TRUE)</f>
        <v>0</v>
      </c>
      <c r="F5" s="35" t="e">
        <f ca="1">100*E5/SUM(E4:E9)</f>
        <v>#DIV/0!</v>
      </c>
      <c r="I5" s="31" t="s">
        <v>467</v>
      </c>
      <c r="J5" s="39" t="e">
        <f ca="1">SUMIFS('Raw Data'!L:L, 'Raw Data'!B:B, "B", 'Raw Data'!R:R, TRUE, 'Raw Data'!S:S, TRUE) / E5</f>
        <v>#DIV/0!</v>
      </c>
      <c r="K5" s="37" t="e">
        <f ca="1">SUMIFS('Raw Data'!I:I, 'Raw Data'!B:B, "B", 'Raw Data'!R:R, TRUE, 'Raw Data'!S:S, TRUE) / E5</f>
        <v>#DIV/0!</v>
      </c>
      <c r="L5" s="37" t="e">
        <f ca="1">SUMIFS('Raw Data'!M:M, 'Raw Data'!B:B, "B", 'Raw Data'!R:R, TRUE, 'Raw Data'!S:S, TRUE) / E5</f>
        <v>#DIV/0!</v>
      </c>
      <c r="M5" s="51" t="e">
        <f ca="1">SUMIFS('Raw Data'!K:K, 'Raw Data'!B:B, "B", 'Raw Data'!R:R, TRUE, 'Raw Data'!S:S, TRUE) / E5</f>
        <v>#DIV/0!</v>
      </c>
      <c r="N5" s="35" t="e">
        <f ca="1">SUMIFS('Raw Data'!N:N, 'Raw Data'!B:B, "B", 'Raw Data'!R:R, TRUE, 'Raw Data'!S:S, TRUE) / E5</f>
        <v>#DIV/0!</v>
      </c>
      <c r="O5" s="42">
        <f ca="1">SUMIFS('Raw Data'!AD:AD, 'Raw Data'!B:B, "B", 'Raw Data'!R:R, TRUE, 'Raw Data'!S:S, TRUE) / 15</f>
        <v>0</v>
      </c>
      <c r="P5" s="50">
        <f ca="1">SUMIFS('Raw Data'!AE:AE, 'Raw Data'!B:B, "B", 'Raw Data'!R:R, TRUE, 'Raw Data'!S:S, TRUE) / 15</f>
        <v>0</v>
      </c>
      <c r="Q5" s="42">
        <f ca="1">SUMIFS('Raw Data'!AF:AF, 'Raw Data'!B:B, "B", 'Raw Data'!R:R, TRUE, 'Raw Data'!S:S, TRUE) / 15</f>
        <v>0</v>
      </c>
    </row>
    <row r="6" spans="2:17" x14ac:dyDescent="0.35">
      <c r="B6" s="102" t="s">
        <v>469</v>
      </c>
      <c r="C6" s="103"/>
      <c r="D6" s="103"/>
      <c r="E6" s="33">
        <f ca="1">COUNTIFS('Raw Data'!B:B, "C", 'Raw Data'!R:R, TRUE, 'Raw Data'!S:S, TRUE)</f>
        <v>0</v>
      </c>
      <c r="F6" s="35" t="e">
        <f ca="1">100*E6/SUM(E4:E9)</f>
        <v>#DIV/0!</v>
      </c>
      <c r="I6" s="31" t="s">
        <v>469</v>
      </c>
      <c r="J6" s="39" t="e">
        <f ca="1">SUMIFS('Raw Data'!L:L, 'Raw Data'!B:B, "C", 'Raw Data'!R:R, TRUE, 'Raw Data'!S:S, TRUE) / E6</f>
        <v>#DIV/0!</v>
      </c>
      <c r="K6" s="37" t="e">
        <f ca="1">SUMIFS('Raw Data'!I:I, 'Raw Data'!B:B, "C", 'Raw Data'!R:R, TRUE, 'Raw Data'!S:S, TRUE) / E6</f>
        <v>#DIV/0!</v>
      </c>
      <c r="L6" s="37" t="e">
        <f ca="1">SUMIFS('Raw Data'!M:M, 'Raw Data'!B:B, "C", 'Raw Data'!R:R, TRUE, 'Raw Data'!S:S, TRUE) / E6</f>
        <v>#DIV/0!</v>
      </c>
      <c r="M6" s="51" t="e">
        <f ca="1">SUMIFS('Raw Data'!K:K, 'Raw Data'!B:B, "C", 'Raw Data'!R:R, TRUE, 'Raw Data'!S:S, TRUE) / E6</f>
        <v>#DIV/0!</v>
      </c>
      <c r="N6" s="35" t="e">
        <f ca="1">SUMIFS('Raw Data'!N:N, 'Raw Data'!B:B, "C", 'Raw Data'!R:R, TRUE, 'Raw Data'!S:S, TRUE) / E6</f>
        <v>#DIV/0!</v>
      </c>
      <c r="O6" s="42">
        <f ca="1">SUMIFS('Raw Data'!AD:AD, 'Raw Data'!B:B, "C", 'Raw Data'!R:R, TRUE, 'Raw Data'!S:S, TRUE) / 4</f>
        <v>0</v>
      </c>
      <c r="P6" s="42">
        <f ca="1">SUMIFS('Raw Data'!AE:AE, 'Raw Data'!B:B, "C", 'Raw Data'!R:R, TRUE, 'Raw Data'!S:S, TRUE) / 4</f>
        <v>0</v>
      </c>
      <c r="Q6" s="42">
        <f ca="1">SUMIFS('Raw Data'!AF:AF, 'Raw Data'!B:B, "C", 'Raw Data'!R:R, TRUE, 'Raw Data'!S:S, TRUE) / 4</f>
        <v>0</v>
      </c>
    </row>
    <row r="7" spans="2:17" x14ac:dyDescent="0.35">
      <c r="B7" s="102" t="s">
        <v>456</v>
      </c>
      <c r="C7" s="103"/>
      <c r="D7" s="103"/>
      <c r="E7" s="33">
        <f ca="1">COUNTIFS('Raw Data'!B:B, "D", 'Raw Data'!R:R, TRUE, 'Raw Data'!S:S, TRUE)</f>
        <v>0</v>
      </c>
      <c r="F7" s="35" t="e">
        <f ca="1">100*E7/SUM(E4:E9)</f>
        <v>#DIV/0!</v>
      </c>
      <c r="I7" s="31" t="s">
        <v>456</v>
      </c>
      <c r="J7" s="39" t="e">
        <f ca="1">SUMIFS('Raw Data'!L:L, 'Raw Data'!B:B, "D", 'Raw Data'!R:R, TRUE, 'Raw Data'!S:S, TRUE) / E7</f>
        <v>#DIV/0!</v>
      </c>
      <c r="K7" s="37" t="e">
        <f ca="1">SUMIFS('Raw Data'!I:I, 'Raw Data'!B:B, "D", 'Raw Data'!R:R, TRUE, 'Raw Data'!S:S, TRUE) / E7</f>
        <v>#DIV/0!</v>
      </c>
      <c r="L7" s="37" t="e">
        <f ca="1">SUMIFS('Raw Data'!M:M, 'Raw Data'!B:B, "D", 'Raw Data'!R:R, TRUE, 'Raw Data'!S:S, TRUE) / E7</f>
        <v>#DIV/0!</v>
      </c>
      <c r="M7" s="51" t="e">
        <f ca="1">SUMIFS('Raw Data'!K:K, 'Raw Data'!B:B, "D", 'Raw Data'!R:R, TRUE, 'Raw Data'!S:S, TRUE) / E7</f>
        <v>#DIV/0!</v>
      </c>
      <c r="N7" s="35" t="e">
        <f ca="1">SUMIFS('Raw Data'!N:N, 'Raw Data'!B:B, "D", 'Raw Data'!R:R, TRUE, 'Raw Data'!S:S, TRUE) / E7</f>
        <v>#DIV/0!</v>
      </c>
      <c r="O7" s="42">
        <f ca="1">SUMIFS('Raw Data'!AD:AD, 'Raw Data'!B:B, "D", 'Raw Data'!R:R, TRUE, 'Raw Data'!S:S, TRUE) / 20</f>
        <v>0</v>
      </c>
      <c r="P7" s="42">
        <f ca="1">SUMIFS('Raw Data'!AE:AE, 'Raw Data'!B:B, "D", 'Raw Data'!R:R, TRUE, 'Raw Data'!S:S, TRUE) / 20</f>
        <v>0</v>
      </c>
      <c r="Q7" s="42">
        <f ca="1">SUMIFS('Raw Data'!AF:AF, 'Raw Data'!B:B, "D", 'Raw Data'!R:R, TRUE, 'Raw Data'!S:S, TRUE) / 20</f>
        <v>0</v>
      </c>
    </row>
    <row r="8" spans="2:17" x14ac:dyDescent="0.35">
      <c r="B8" s="102" t="s">
        <v>457</v>
      </c>
      <c r="C8" s="103"/>
      <c r="D8" s="103"/>
      <c r="E8" s="33">
        <f ca="1">COUNTIFS('Raw Data'!B:B, "E", 'Raw Data'!R:R, TRUE, 'Raw Data'!S:S, TRUE)</f>
        <v>0</v>
      </c>
      <c r="F8" s="35" t="e">
        <f ca="1">100*E8/SUM(E4:E9)</f>
        <v>#DIV/0!</v>
      </c>
      <c r="I8" s="31" t="s">
        <v>457</v>
      </c>
      <c r="J8" s="39" t="e">
        <f ca="1">SUMIFS('Raw Data'!L:L, 'Raw Data'!B:B, "E", 'Raw Data'!R:R, TRUE, 'Raw Data'!S:S, TRUE) / E8</f>
        <v>#DIV/0!</v>
      </c>
      <c r="K8" s="37" t="e">
        <f ca="1">SUMIFS('Raw Data'!I:I, 'Raw Data'!B:B, "E", 'Raw Data'!R:R, TRUE, 'Raw Data'!S:S, TRUE) / E8</f>
        <v>#DIV/0!</v>
      </c>
      <c r="L8" s="37" t="e">
        <f ca="1">SUMIFS('Raw Data'!M:M, 'Raw Data'!B:B, "E", 'Raw Data'!R:R, TRUE, 'Raw Data'!S:S, TRUE) / E8</f>
        <v>#DIV/0!</v>
      </c>
      <c r="M8" s="51" t="e">
        <f ca="1">SUMIFS('Raw Data'!K:K, 'Raw Data'!B:B, "E", 'Raw Data'!R:R, TRUE, 'Raw Data'!S:S, TRUE) / E8</f>
        <v>#DIV/0!</v>
      </c>
      <c r="N8" s="35" t="e">
        <f ca="1">SUMIFS('Raw Data'!N:N, 'Raw Data'!B:B, "E", 'Raw Data'!R:R, TRUE, 'Raw Data'!S:S, TRUE) / E8</f>
        <v>#DIV/0!</v>
      </c>
      <c r="O8" s="48">
        <f ca="1">SUMIFS('Raw Data'!AD:AD, 'Raw Data'!B:B, "E", 'Raw Data'!R:R, TRUE, 'Raw Data'!S:S, TRUE) / 11</f>
        <v>0</v>
      </c>
      <c r="P8" s="42">
        <f ca="1">SUMIFS('Raw Data'!AE:AE, 'Raw Data'!B:B, "E", 'Raw Data'!R:R, TRUE, 'Raw Data'!S:S, TRUE) / 11</f>
        <v>0</v>
      </c>
      <c r="Q8" s="42">
        <f ca="1">SUMIFS('Raw Data'!AF:AF, 'Raw Data'!B:B, "E", 'Raw Data'!R:R, TRUE, 'Raw Data'!S:S, TRUE) / 11</f>
        <v>0</v>
      </c>
    </row>
    <row r="9" spans="2:17" ht="15" thickBot="1" x14ac:dyDescent="0.4">
      <c r="B9" s="104" t="s">
        <v>470</v>
      </c>
      <c r="C9" s="105"/>
      <c r="D9" s="105"/>
      <c r="E9" s="34">
        <f ca="1">COUNTIFS('Raw Data'!B:B, "F", 'Raw Data'!R:R, TRUE, 'Raw Data'!S:S, TRUE)</f>
        <v>0</v>
      </c>
      <c r="F9" s="36" t="e">
        <f ca="1">100*E9/SUM(E4:E9)</f>
        <v>#DIV/0!</v>
      </c>
      <c r="I9" s="32" t="s">
        <v>470</v>
      </c>
      <c r="J9" s="40" t="e">
        <f ca="1">SUMIFS('Raw Data'!L:L, 'Raw Data'!B:B, "F", 'Raw Data'!R:R, TRUE, 'Raw Data'!S:S, TRUE) / E9</f>
        <v>#DIV/0!</v>
      </c>
      <c r="K9" s="38" t="e">
        <f ca="1">SUMIFS('Raw Data'!I:I, 'Raw Data'!B:B, "F", 'Raw Data'!R:R, TRUE, 'Raw Data'!S:S, TRUE) / E9</f>
        <v>#DIV/0!</v>
      </c>
      <c r="L9" s="38" t="e">
        <f ca="1">SUMIFS('Raw Data'!M:M, 'Raw Data'!B:B, "F", 'Raw Data'!R:R, TRUE, 'Raw Data'!S:S, TRUE) / E9</f>
        <v>#DIV/0!</v>
      </c>
      <c r="M9" s="52" t="e">
        <f ca="1">SUMIFS('Raw Data'!K:K, 'Raw Data'!B:B, "F", 'Raw Data'!R:R, TRUE, 'Raw Data'!S:S, TRUE) / E9</f>
        <v>#DIV/0!</v>
      </c>
      <c r="N9" s="36" t="e">
        <f ca="1">SUMIFS('Raw Data'!N:N, 'Raw Data'!B:B, "F", 'Raw Data'!R:R, TRUE, 'Raw Data'!S:S, TRUE) / E9</f>
        <v>#DIV/0!</v>
      </c>
      <c r="O9" s="43">
        <f ca="1">SUMIFS('Raw Data'!AD:AD, 'Raw Data'!B:B, "F", 'Raw Data'!R:R, TRUE, 'Raw Data'!S:S, TRUE) / 15</f>
        <v>0</v>
      </c>
      <c r="P9" s="49">
        <f ca="1">SUMIFS('Raw Data'!AE:AE, 'Raw Data'!B:B, "F", 'Raw Data'!R:R, TRUE, 'Raw Data'!S:S, TRUE) / 15</f>
        <v>0</v>
      </c>
      <c r="Q9" s="43">
        <f ca="1">SUMIFS('Raw Data'!AF:AF, 'Raw Data'!B:B, "F", 'Raw Data'!R:R, TRUE, 'Raw Data'!S:S, TRUE) / 15</f>
        <v>0</v>
      </c>
    </row>
    <row r="10" spans="2:17" x14ac:dyDescent="0.35">
      <c r="E10">
        <f ca="1">SUM(E4:E9)</f>
        <v>0</v>
      </c>
    </row>
    <row r="11" spans="2:17" ht="15" thickBot="1" x14ac:dyDescent="0.4"/>
    <row r="12" spans="2:17" ht="15" thickBot="1" x14ac:dyDescent="0.4">
      <c r="B12" s="96" t="s">
        <v>39</v>
      </c>
      <c r="C12" s="97"/>
      <c r="D12" s="97"/>
      <c r="E12" s="41" t="s">
        <v>33</v>
      </c>
      <c r="F12" s="30" t="s">
        <v>34</v>
      </c>
      <c r="I12" s="41" t="s">
        <v>11</v>
      </c>
      <c r="J12" s="41" t="s">
        <v>6</v>
      </c>
      <c r="K12" s="41" t="s">
        <v>3</v>
      </c>
      <c r="L12" s="41" t="s">
        <v>5</v>
      </c>
      <c r="M12" s="30" t="s">
        <v>50</v>
      </c>
      <c r="N12" s="30" t="s">
        <v>38</v>
      </c>
    </row>
    <row r="13" spans="2:17" x14ac:dyDescent="0.35">
      <c r="B13" s="102" t="s">
        <v>20</v>
      </c>
      <c r="C13" s="103"/>
      <c r="D13" s="103"/>
      <c r="E13" s="33">
        <f ca="1">COUNTIFS('Raw Data'!Q:Q, "Short", 'Raw Data'!R:R, TRUE, 'Raw Data'!S:S, TRUE)</f>
        <v>0</v>
      </c>
      <c r="F13" s="35" t="e">
        <f ca="1">100*E13/SUM(E13:E15)</f>
        <v>#DIV/0!</v>
      </c>
      <c r="I13" s="31" t="s">
        <v>20</v>
      </c>
      <c r="J13" s="89" t="e">
        <f ca="1">SUMIFS('Raw Data'!L:L, 'Raw Data'!Q:Q, "Short", 'Raw Data'!R:R, TRUE, 'Raw Data'!S:S, TRUE) / E13</f>
        <v>#DIV/0!</v>
      </c>
      <c r="K13" s="90" t="e">
        <f ca="1">SUMIFS('Raw Data'!I:I, 'Raw Data'!Q:Q, "Short", 'Raw Data'!R:R, TRUE, 'Raw Data'!S:S, TRUE) / E13</f>
        <v>#DIV/0!</v>
      </c>
      <c r="L13" s="90" t="e">
        <f ca="1">SUMIFS('Raw Data'!M:M, 'Raw Data'!Q:Q, "Short", 'Raw Data'!R:R, TRUE, 'Raw Data'!S:S, TRUE) / E13</f>
        <v>#DIV/0!</v>
      </c>
      <c r="M13" s="91" t="e">
        <f ca="1">SUMIFS('Raw Data'!K:K, 'Raw Data'!Q:Q, "Short", 'Raw Data'!R:R, TRUE, 'Raw Data'!S:S, TRUE) / E13</f>
        <v>#DIV/0!</v>
      </c>
      <c r="N13" s="93" t="e">
        <f ca="1">SUMIFS('Raw Data'!N:N, 'Raw Data'!Q:Q, "Short", 'Raw Data'!R:R, TRUE, 'Raw Data'!S:S, TRUE) / E13</f>
        <v>#DIV/0!</v>
      </c>
    </row>
    <row r="14" spans="2:17" x14ac:dyDescent="0.35">
      <c r="B14" s="102" t="s">
        <v>21</v>
      </c>
      <c r="C14" s="103"/>
      <c r="D14" s="103"/>
      <c r="E14" s="33">
        <f ca="1">COUNTIFS('Raw Data'!Q:Q, "Mid", 'Raw Data'!R:R, TRUE, 'Raw Data'!S:S, TRUE)</f>
        <v>0</v>
      </c>
      <c r="F14" s="35" t="e">
        <f ca="1">100*E14/SUM(E13:E15)</f>
        <v>#DIV/0!</v>
      </c>
      <c r="I14" s="31" t="s">
        <v>21</v>
      </c>
      <c r="J14" s="39" t="e">
        <f ca="1">SUMIFS('Raw Data'!L:L, 'Raw Data'!Q:Q, "Mid", 'Raw Data'!R:R, TRUE, 'Raw Data'!S:S, TRUE) / E14</f>
        <v>#DIV/0!</v>
      </c>
      <c r="K14" s="37" t="e">
        <f ca="1">SUMIFS('Raw Data'!I:I, 'Raw Data'!Q:Q, "Mid", 'Raw Data'!R:R, TRUE, 'Raw Data'!S:S, TRUE) / E14</f>
        <v>#DIV/0!</v>
      </c>
      <c r="L14" s="37" t="e">
        <f ca="1">SUMIFS('Raw Data'!M:M, 'Raw Data'!Q:Q, "Mid", 'Raw Data'!R:R, TRUE, 'Raw Data'!S:S, TRUE) / E14</f>
        <v>#DIV/0!</v>
      </c>
      <c r="M14" s="94" t="e">
        <f ca="1">SUMIFS('Raw Data'!K:K, 'Raw Data'!Q:Q, "Mid", 'Raw Data'!R:R, TRUE, 'Raw Data'!S:S, TRUE) / E14</f>
        <v>#DIV/0!</v>
      </c>
      <c r="N14" s="35" t="e">
        <f ca="1">SUMIFS('Raw Data'!N:N, 'Raw Data'!Q:Q, "Mid", 'Raw Data'!R:R, TRUE, 'Raw Data'!S:S, TRUE) / E14</f>
        <v>#DIV/0!</v>
      </c>
    </row>
    <row r="15" spans="2:17" ht="15" thickBot="1" x14ac:dyDescent="0.4">
      <c r="B15" s="104" t="s">
        <v>22</v>
      </c>
      <c r="C15" s="105"/>
      <c r="D15" s="105"/>
      <c r="E15" s="34">
        <f ca="1">COUNTIFS('Raw Data'!Q:Q, "Long", 'Raw Data'!R:R, TRUE, 'Raw Data'!S:S, TRUE)</f>
        <v>0</v>
      </c>
      <c r="F15" s="36" t="e">
        <f ca="1">100*E15/SUM(E13:E15)</f>
        <v>#DIV/0!</v>
      </c>
      <c r="I15" s="32" t="s">
        <v>22</v>
      </c>
      <c r="J15" s="88" t="e">
        <f ca="1">SUMIFS('Raw Data'!L:L, 'Raw Data'!Q:Q, "Long", 'Raw Data'!R:R, TRUE, 'Raw Data'!S:S, TRUE) / E15</f>
        <v>#DIV/0!</v>
      </c>
      <c r="K15" s="92" t="e">
        <f ca="1">SUMIFS('Raw Data'!I:I, 'Raw Data'!Q:Q, "Long", 'Raw Data'!R:R, TRUE, 'Raw Data'!S:S, TRUE) / E15</f>
        <v>#DIV/0!</v>
      </c>
      <c r="L15" s="92" t="e">
        <f ca="1">SUMIFS('Raw Data'!M:M, 'Raw Data'!Q:Q, "Long", 'Raw Data'!R:R, TRUE, 'Raw Data'!S:S, TRUE) / E15</f>
        <v>#DIV/0!</v>
      </c>
      <c r="M15" s="95" t="e">
        <f ca="1">SUMIFS('Raw Data'!K:K, 'Raw Data'!Q:Q, "Long", 'Raw Data'!R:R, TRUE, 'Raw Data'!S:S, TRUE) / E15</f>
        <v>#DIV/0!</v>
      </c>
      <c r="N15" s="36" t="e">
        <f ca="1">SUMIFS('Raw Data'!N:N, 'Raw Data'!Q:Q, "Long", 'Raw Data'!R:R, TRUE, 'Raw Data'!S:S, TRUE) / E15</f>
        <v>#DIV/0!</v>
      </c>
    </row>
  </sheetData>
  <mergeCells count="11">
    <mergeCell ref="B9:D9"/>
    <mergeCell ref="B12:D12"/>
    <mergeCell ref="B13:D13"/>
    <mergeCell ref="B14:D14"/>
    <mergeCell ref="B15:D15"/>
    <mergeCell ref="B8:D8"/>
    <mergeCell ref="B3:D3"/>
    <mergeCell ref="B4:D4"/>
    <mergeCell ref="B5:D5"/>
    <mergeCell ref="B6:D6"/>
    <mergeCell ref="B7:D7"/>
  </mergeCells>
  <conditionalFormatting sqref="J4:J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4:K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4:M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N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4:M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5BFF2-DA32-4CE7-BD72-E2FCC1827921}">
  <sheetPr codeName="Sheet5"/>
  <dimension ref="B2:C8"/>
  <sheetViews>
    <sheetView workbookViewId="0">
      <selection activeCell="G9" sqref="G9"/>
    </sheetView>
  </sheetViews>
  <sheetFormatPr defaultRowHeight="14.5" x14ac:dyDescent="0.35"/>
  <sheetData>
    <row r="2" spans="2:3" x14ac:dyDescent="0.35">
      <c r="B2" t="s">
        <v>452</v>
      </c>
    </row>
    <row r="3" spans="2:3" x14ac:dyDescent="0.35">
      <c r="B3" t="s">
        <v>17</v>
      </c>
      <c r="C3" t="s">
        <v>453</v>
      </c>
    </row>
    <row r="4" spans="2:3" x14ac:dyDescent="0.35">
      <c r="B4" t="s">
        <v>19</v>
      </c>
      <c r="C4" t="s">
        <v>454</v>
      </c>
    </row>
    <row r="5" spans="2:3" x14ac:dyDescent="0.35">
      <c r="B5" t="s">
        <v>18</v>
      </c>
      <c r="C5" t="s">
        <v>455</v>
      </c>
    </row>
    <row r="6" spans="2:3" x14ac:dyDescent="0.35">
      <c r="B6" t="s">
        <v>35</v>
      </c>
      <c r="C6" t="s">
        <v>459</v>
      </c>
    </row>
    <row r="7" spans="2:3" x14ac:dyDescent="0.35">
      <c r="B7" t="s">
        <v>36</v>
      </c>
      <c r="C7" t="s">
        <v>457</v>
      </c>
    </row>
    <row r="8" spans="2:3" x14ac:dyDescent="0.35">
      <c r="B8" t="s">
        <v>37</v>
      </c>
      <c r="C8" t="s"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Thumbnail</vt:lpstr>
      <vt:lpstr>PivotTable</vt:lpstr>
      <vt:lpstr>Overview</vt:lpstr>
      <vt:lpstr>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Agrawal</dc:creator>
  <cp:lastModifiedBy>Karan Agrawal</cp:lastModifiedBy>
  <dcterms:created xsi:type="dcterms:W3CDTF">2020-10-24T19:55:36Z</dcterms:created>
  <dcterms:modified xsi:type="dcterms:W3CDTF">2022-05-12T22:43:43Z</dcterms:modified>
</cp:coreProperties>
</file>